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Job Hunting/Projects for CV/Financial Analyst/Project 1 Fundamental Analysis of Emaar Properties PJSC using DCF and Multiples Valuation/"/>
    </mc:Choice>
  </mc:AlternateContent>
  <xr:revisionPtr revIDLastSave="0" documentId="13_ncr:1_{3AC2F2F7-867C-AD44-A3EA-90BF8F17C04E}" xr6:coauthVersionLast="47" xr6:coauthVersionMax="47" xr10:uidLastSave="{00000000-0000-0000-0000-000000000000}"/>
  <bookViews>
    <workbookView xWindow="2800" yWindow="500" windowWidth="26000" windowHeight="16520" firstSheet="4" activeTab="7" xr2:uid="{00000000-000D-0000-FFFF-FFFF00000000}"/>
  </bookViews>
  <sheets>
    <sheet name="Index" sheetId="1" r:id="rId1"/>
    <sheet name="1.Input --&gt;" sheetId="2" r:id="rId2"/>
    <sheet name="P&amp;L assumptions" sheetId="3" r:id="rId3"/>
    <sheet name="BS assumptions" sheetId="4" r:id="rId4"/>
    <sheet name="2.Output--&gt;" sheetId="5" r:id="rId5"/>
    <sheet name="P&amp;L" sheetId="6" r:id="rId6"/>
    <sheet name="BS" sheetId="7" r:id="rId7"/>
    <sheet name="Cash Flow" sheetId="8" r:id="rId8"/>
    <sheet name="DCF valuation" sheetId="9" r:id="rId9"/>
    <sheet name="3.Charts  --&gt;" sheetId="10" r:id="rId10"/>
    <sheet name="Revenues&amp;Ebitda" sheetId="11" r:id="rId11"/>
    <sheet name="Cash flows" sheetId="12" r:id="rId12"/>
    <sheet name="Ebitda bridge" sheetId="13" r:id="rId13"/>
    <sheet name="Working capital" sheetId="14" r:id="rId14"/>
    <sheet name="DCF results" sheetId="15" r:id="rId15"/>
    <sheet name="4.Sources --&gt;" sheetId="16" r:id="rId16"/>
    <sheet name="P&amp;L source" sheetId="17" r:id="rId17"/>
    <sheet name="BS source" sheetId="18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17" l="1"/>
  <c r="E6" i="6"/>
  <c r="C4" i="6"/>
  <c r="D34" i="8" l="1"/>
  <c r="D12" i="4"/>
  <c r="G12" i="4" s="1"/>
  <c r="D6" i="8" l="1"/>
  <c r="D4" i="8"/>
  <c r="D5" i="8" s="1"/>
  <c r="K10" i="18"/>
  <c r="F5" i="7"/>
  <c r="E21" i="7"/>
  <c r="G10" i="9" l="1"/>
  <c r="O5" i="15"/>
  <c r="I5" i="15"/>
  <c r="D5" i="15" l="1"/>
  <c r="E38" i="17"/>
  <c r="D37" i="17"/>
  <c r="F34" i="17"/>
  <c r="E34" i="17"/>
  <c r="D34" i="17"/>
  <c r="D33" i="17"/>
  <c r="E33" i="17"/>
  <c r="D38" i="17"/>
  <c r="E32" i="17"/>
  <c r="F32" i="17"/>
  <c r="D32" i="17"/>
  <c r="F37" i="17"/>
  <c r="O6" i="15"/>
  <c r="I6" i="15"/>
  <c r="D6" i="15"/>
  <c r="F10" i="14"/>
  <c r="C20" i="9"/>
  <c r="D20" i="6" l="1"/>
  <c r="E20" i="6"/>
  <c r="F20" i="6"/>
  <c r="C20" i="6"/>
  <c r="F16" i="6"/>
  <c r="F15" i="6"/>
  <c r="C12" i="6" l="1"/>
  <c r="D9" i="6"/>
  <c r="F9" i="6"/>
  <c r="C9" i="6"/>
  <c r="D6" i="6"/>
  <c r="F6" i="6"/>
  <c r="C6" i="6"/>
  <c r="C7" i="6" s="1"/>
  <c r="D4" i="6"/>
  <c r="E4" i="6"/>
  <c r="F4" i="6"/>
  <c r="C10" i="6" l="1"/>
  <c r="C28" i="3"/>
  <c r="C22" i="3"/>
  <c r="C16" i="3"/>
  <c r="E16" i="3"/>
  <c r="D16" i="3"/>
  <c r="E45" i="3" l="1"/>
  <c r="D45" i="3"/>
  <c r="C45" i="3"/>
  <c r="E39" i="3"/>
  <c r="E16" i="6" s="1"/>
  <c r="E33" i="3"/>
  <c r="E15" i="6" s="1"/>
  <c r="D33" i="3"/>
  <c r="D15" i="6" s="1"/>
  <c r="C33" i="3"/>
  <c r="C15" i="6" s="1"/>
  <c r="E21" i="3"/>
  <c r="E9" i="6" s="1"/>
  <c r="D21" i="3"/>
  <c r="C21" i="3"/>
  <c r="E37" i="17"/>
  <c r="D46" i="3" s="1"/>
  <c r="C39" i="3"/>
  <c r="E26" i="17"/>
  <c r="F26" i="17"/>
  <c r="D26" i="17"/>
  <c r="E21" i="17"/>
  <c r="D21" i="17"/>
  <c r="D39" i="3" l="1"/>
  <c r="D16" i="6" s="1"/>
  <c r="C46" i="3"/>
  <c r="E42" i="17"/>
  <c r="G40" i="3"/>
  <c r="D42" i="17" l="1"/>
  <c r="G22" i="3"/>
  <c r="F8" i="7"/>
  <c r="D32" i="4"/>
  <c r="D8" i="7" s="1"/>
  <c r="E32" i="4"/>
  <c r="E8" i="7" s="1"/>
  <c r="C32" i="4"/>
  <c r="C8" i="7" s="1"/>
  <c r="F17" i="7"/>
  <c r="D29" i="4"/>
  <c r="D17" i="7" s="1"/>
  <c r="D27" i="8" s="1"/>
  <c r="E29" i="4"/>
  <c r="E17" i="7" s="1"/>
  <c r="C19" i="9" s="1"/>
  <c r="C29" i="4"/>
  <c r="C17" i="7" s="1"/>
  <c r="D26" i="4" l="1"/>
  <c r="E26" i="4"/>
  <c r="C26" i="4"/>
  <c r="D20" i="18" l="1"/>
  <c r="G31" i="8"/>
  <c r="E31" i="8"/>
  <c r="E34" i="8"/>
  <c r="F34" i="8"/>
  <c r="F31" i="8"/>
  <c r="E10" i="18"/>
  <c r="F10" i="18"/>
  <c r="D10" i="18"/>
  <c r="D27" i="18" s="1"/>
  <c r="E27" i="8"/>
  <c r="E19" i="8"/>
  <c r="D19" i="8"/>
  <c r="F15" i="8"/>
  <c r="H18" i="7"/>
  <c r="I18" i="7"/>
  <c r="J18" i="7"/>
  <c r="K18" i="7"/>
  <c r="G18" i="7"/>
  <c r="D18" i="7"/>
  <c r="E18" i="7"/>
  <c r="C18" i="7"/>
  <c r="C14" i="7"/>
  <c r="C4" i="7" l="1"/>
  <c r="D31" i="8" s="1"/>
  <c r="F16" i="7"/>
  <c r="F15" i="7"/>
  <c r="D14" i="7" l="1"/>
  <c r="E14" i="7"/>
  <c r="H11" i="7" l="1"/>
  <c r="I11" i="7"/>
  <c r="J11" i="7"/>
  <c r="K11" i="7"/>
  <c r="G11" i="7"/>
  <c r="D11" i="7"/>
  <c r="E11" i="7"/>
  <c r="F11" i="7"/>
  <c r="C11" i="7"/>
  <c r="F10" i="7"/>
  <c r="F9" i="7"/>
  <c r="F7" i="7"/>
  <c r="F6" i="7"/>
  <c r="F12" i="7" l="1"/>
  <c r="C5" i="7"/>
  <c r="D4" i="7"/>
  <c r="E4" i="7"/>
  <c r="D17" i="4" l="1"/>
  <c r="D15" i="7" s="1"/>
  <c r="E17" i="4"/>
  <c r="E15" i="7" s="1"/>
  <c r="C17" i="4"/>
  <c r="C15" i="7" s="1"/>
  <c r="D11" i="4"/>
  <c r="D7" i="7" s="1"/>
  <c r="E11" i="4"/>
  <c r="E7" i="7" s="1"/>
  <c r="C11" i="4"/>
  <c r="C7" i="7" s="1"/>
  <c r="D8" i="4"/>
  <c r="D6" i="7" s="1"/>
  <c r="D16" i="8" s="1"/>
  <c r="E8" i="4"/>
  <c r="E6" i="7" s="1"/>
  <c r="C8" i="4"/>
  <c r="C6" i="7" s="1"/>
  <c r="J25" i="18"/>
  <c r="K24" i="18"/>
  <c r="L24" i="18"/>
  <c r="K17" i="18"/>
  <c r="L17" i="18"/>
  <c r="J17" i="18"/>
  <c r="J24" i="18"/>
  <c r="K23" i="18"/>
  <c r="L23" i="18"/>
  <c r="J23" i="18"/>
  <c r="J10" i="18"/>
  <c r="E20" i="18"/>
  <c r="F20" i="18"/>
  <c r="E14" i="8" l="1"/>
  <c r="E12" i="8"/>
  <c r="D12" i="8"/>
  <c r="D14" i="8"/>
  <c r="E16" i="8"/>
  <c r="B6" i="14"/>
  <c r="B5" i="14"/>
  <c r="B4" i="14"/>
  <c r="B4" i="11" l="1"/>
  <c r="F14" i="7" l="1"/>
  <c r="D23" i="4"/>
  <c r="D10" i="7" s="1"/>
  <c r="E23" i="4"/>
  <c r="E10" i="7" s="1"/>
  <c r="C23" i="4"/>
  <c r="C10" i="7" s="1"/>
  <c r="F5" i="14" l="1"/>
  <c r="F19" i="7" l="1"/>
  <c r="F6" i="14"/>
  <c r="B3" i="14" l="1"/>
  <c r="F7" i="6"/>
  <c r="G16" i="3" l="1"/>
  <c r="G34" i="3" l="1"/>
  <c r="G33" i="3" s="1"/>
  <c r="G15" i="6" l="1"/>
  <c r="C4" i="14"/>
  <c r="G10" i="3"/>
  <c r="D20" i="4" l="1"/>
  <c r="D16" i="7" s="1"/>
  <c r="E20" i="4"/>
  <c r="E16" i="7" s="1"/>
  <c r="C20" i="4"/>
  <c r="C16" i="7" s="1"/>
  <c r="D14" i="4"/>
  <c r="D9" i="7" s="1"/>
  <c r="D18" i="8" s="1"/>
  <c r="E14" i="4"/>
  <c r="E9" i="7" s="1"/>
  <c r="C14" i="4"/>
  <c r="C9" i="7" s="1"/>
  <c r="C12" i="7" s="1"/>
  <c r="E5" i="4" l="1"/>
  <c r="D5" i="4"/>
  <c r="C5" i="4"/>
  <c r="C5" i="14" s="1"/>
  <c r="C6" i="14" l="1"/>
  <c r="C19" i="7"/>
  <c r="D6" i="14"/>
  <c r="E6" i="14"/>
  <c r="D5" i="14"/>
  <c r="E5" i="14"/>
  <c r="L8" i="18" l="1"/>
  <c r="K8" i="18"/>
  <c r="J8" i="18"/>
  <c r="K25" i="18" l="1"/>
  <c r="L10" i="18"/>
  <c r="K27" i="18"/>
  <c r="J27" i="18"/>
  <c r="L25" i="18"/>
  <c r="F4" i="17"/>
  <c r="F7" i="17" s="1"/>
  <c r="E9" i="3" s="1"/>
  <c r="D27" i="3"/>
  <c r="F14" i="17"/>
  <c r="E15" i="3" s="1"/>
  <c r="E14" i="17"/>
  <c r="D15" i="3" s="1"/>
  <c r="E4" i="17"/>
  <c r="E7" i="17" s="1"/>
  <c r="D14" i="17"/>
  <c r="C15" i="3" s="1"/>
  <c r="C12" i="4" s="1"/>
  <c r="D4" i="17"/>
  <c r="D7" i="17" s="1"/>
  <c r="C9" i="3" s="1"/>
  <c r="C15" i="4" s="1"/>
  <c r="F27" i="18"/>
  <c r="K3" i="14"/>
  <c r="J3" i="14"/>
  <c r="I3" i="14"/>
  <c r="H3" i="14"/>
  <c r="G3" i="14"/>
  <c r="E3" i="14"/>
  <c r="D3" i="14"/>
  <c r="C3" i="14"/>
  <c r="O4" i="13"/>
  <c r="N4" i="13"/>
  <c r="M4" i="13"/>
  <c r="L4" i="13"/>
  <c r="K4" i="13"/>
  <c r="K3" i="11"/>
  <c r="J3" i="11"/>
  <c r="I3" i="11"/>
  <c r="H3" i="11"/>
  <c r="G3" i="11"/>
  <c r="E3" i="11"/>
  <c r="D3" i="11"/>
  <c r="C3" i="11"/>
  <c r="B3" i="11"/>
  <c r="K10" i="9"/>
  <c r="J10" i="9"/>
  <c r="I10" i="9"/>
  <c r="H10" i="9"/>
  <c r="F10" i="6"/>
  <c r="F13" i="6" s="1"/>
  <c r="F17" i="6" s="1"/>
  <c r="F22" i="6" s="1"/>
  <c r="E5" i="7"/>
  <c r="D5" i="7"/>
  <c r="K46" i="3"/>
  <c r="K19" i="6" s="1"/>
  <c r="J46" i="3"/>
  <c r="J19" i="6" s="1"/>
  <c r="I46" i="3"/>
  <c r="I19" i="6" s="1"/>
  <c r="H46" i="3"/>
  <c r="H19" i="6" s="1"/>
  <c r="G46" i="3"/>
  <c r="G19" i="6" s="1"/>
  <c r="G6" i="8" s="1"/>
  <c r="E21" i="8"/>
  <c r="D21" i="8"/>
  <c r="C16" i="6"/>
  <c r="K40" i="3"/>
  <c r="J40" i="3"/>
  <c r="I40" i="3"/>
  <c r="H40" i="3"/>
  <c r="D25" i="8"/>
  <c r="K34" i="3"/>
  <c r="J34" i="3"/>
  <c r="I34" i="3"/>
  <c r="H34" i="3"/>
  <c r="H33" i="3" s="1"/>
  <c r="K28" i="3"/>
  <c r="J28" i="3"/>
  <c r="I28" i="3"/>
  <c r="H28" i="3"/>
  <c r="G28" i="3"/>
  <c r="K22" i="3"/>
  <c r="J22" i="3"/>
  <c r="I22" i="3"/>
  <c r="H22" i="3"/>
  <c r="K16" i="3"/>
  <c r="J16" i="3"/>
  <c r="I16" i="3"/>
  <c r="H16" i="3"/>
  <c r="K10" i="3"/>
  <c r="J10" i="3"/>
  <c r="I10" i="3"/>
  <c r="H10" i="3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H6" i="8" l="1"/>
  <c r="I6" i="8"/>
  <c r="I33" i="3"/>
  <c r="H15" i="6"/>
  <c r="J6" i="8"/>
  <c r="K6" i="8"/>
  <c r="C27" i="3"/>
  <c r="C30" i="4"/>
  <c r="C33" i="4"/>
  <c r="C27" i="4"/>
  <c r="C6" i="4"/>
  <c r="C9" i="14" s="1"/>
  <c r="C18" i="4"/>
  <c r="C10" i="14" s="1"/>
  <c r="C24" i="4"/>
  <c r="C9" i="4"/>
  <c r="E33" i="4"/>
  <c r="E30" i="4"/>
  <c r="E22" i="3"/>
  <c r="E27" i="4"/>
  <c r="E18" i="4"/>
  <c r="E10" i="14" s="1"/>
  <c r="E24" i="4"/>
  <c r="E4" i="11"/>
  <c r="G9" i="3"/>
  <c r="E6" i="4"/>
  <c r="E9" i="14" s="1"/>
  <c r="E12" i="4"/>
  <c r="E9" i="4"/>
  <c r="E15" i="17"/>
  <c r="E22" i="17" s="1"/>
  <c r="D9" i="3"/>
  <c r="E27" i="3"/>
  <c r="E28" i="3" s="1"/>
  <c r="E21" i="4"/>
  <c r="E12" i="7"/>
  <c r="E13" i="8"/>
  <c r="E15" i="8" s="1"/>
  <c r="D13" i="8"/>
  <c r="D15" i="8" s="1"/>
  <c r="D12" i="7"/>
  <c r="D19" i="7"/>
  <c r="D21" i="7" s="1"/>
  <c r="L27" i="18"/>
  <c r="L30" i="18" s="1"/>
  <c r="E4" i="14"/>
  <c r="D4" i="14"/>
  <c r="F15" i="17"/>
  <c r="F22" i="17" s="1"/>
  <c r="F28" i="17" s="1"/>
  <c r="E27" i="18"/>
  <c r="K30" i="18" s="1"/>
  <c r="J30" i="18"/>
  <c r="D15" i="17"/>
  <c r="D22" i="17" s="1"/>
  <c r="D28" i="17" s="1"/>
  <c r="C21" i="4"/>
  <c r="D12" i="6"/>
  <c r="E25" i="8"/>
  <c r="G25" i="8"/>
  <c r="E15" i="4"/>
  <c r="F33" i="17" l="1"/>
  <c r="F38" i="17" s="1"/>
  <c r="F42" i="17" s="1"/>
  <c r="D9" i="8"/>
  <c r="G4" i="6"/>
  <c r="C4" i="13" s="1"/>
  <c r="G39" i="3"/>
  <c r="G27" i="3"/>
  <c r="I15" i="6"/>
  <c r="J33" i="3"/>
  <c r="K12" i="4"/>
  <c r="J12" i="4"/>
  <c r="I12" i="4"/>
  <c r="H12" i="4"/>
  <c r="D10" i="3"/>
  <c r="E10" i="3"/>
  <c r="C13" i="6"/>
  <c r="C17" i="6" s="1"/>
  <c r="C19" i="6" s="1"/>
  <c r="E28" i="17"/>
  <c r="D15" i="4"/>
  <c r="G15" i="4" s="1"/>
  <c r="G14" i="4" s="1"/>
  <c r="G9" i="7" s="1"/>
  <c r="E12" i="6"/>
  <c r="E9" i="8" s="1"/>
  <c r="C4" i="11"/>
  <c r="G15" i="3"/>
  <c r="G21" i="3"/>
  <c r="G9" i="6" s="1"/>
  <c r="C6" i="13" s="1"/>
  <c r="N3" i="13" s="1"/>
  <c r="D30" i="4"/>
  <c r="J30" i="4" s="1"/>
  <c r="D33" i="4"/>
  <c r="K33" i="4" s="1"/>
  <c r="D22" i="3"/>
  <c r="D27" i="4"/>
  <c r="I27" i="4" s="1"/>
  <c r="D18" i="4"/>
  <c r="D10" i="14" s="1"/>
  <c r="D24" i="4"/>
  <c r="I24" i="4" s="1"/>
  <c r="D4" i="11"/>
  <c r="D21" i="4"/>
  <c r="K21" i="4" s="1"/>
  <c r="D9" i="4"/>
  <c r="J9" i="4" s="1"/>
  <c r="D6" i="4"/>
  <c r="D9" i="14" s="1"/>
  <c r="D28" i="3"/>
  <c r="H18" i="4"/>
  <c r="H10" i="14" s="1"/>
  <c r="J18" i="4"/>
  <c r="J10" i="14" s="1"/>
  <c r="K18" i="4"/>
  <c r="K10" i="14" s="1"/>
  <c r="G18" i="4"/>
  <c r="I18" i="4"/>
  <c r="I10" i="14" s="1"/>
  <c r="E7" i="6"/>
  <c r="E10" i="6" s="1"/>
  <c r="C3" i="13" s="1"/>
  <c r="E19" i="7"/>
  <c r="C21" i="7"/>
  <c r="H9" i="3"/>
  <c r="I15" i="4"/>
  <c r="C7" i="14"/>
  <c r="D7" i="14"/>
  <c r="E7" i="14"/>
  <c r="G6" i="4"/>
  <c r="K6" i="4"/>
  <c r="K9" i="14" s="1"/>
  <c r="J6" i="4"/>
  <c r="J9" i="14" s="1"/>
  <c r="I6" i="4"/>
  <c r="I9" i="14" s="1"/>
  <c r="H6" i="4"/>
  <c r="H9" i="14" s="1"/>
  <c r="G6" i="6" l="1"/>
  <c r="G11" i="4"/>
  <c r="E46" i="3"/>
  <c r="J27" i="4"/>
  <c r="G17" i="4"/>
  <c r="G15" i="7" s="1"/>
  <c r="G14" i="8" s="1"/>
  <c r="G10" i="14"/>
  <c r="K33" i="3"/>
  <c r="K15" i="6" s="1"/>
  <c r="J15" i="6"/>
  <c r="H4" i="6"/>
  <c r="H4" i="11" s="1"/>
  <c r="H39" i="3"/>
  <c r="H27" i="4"/>
  <c r="H26" i="4" s="1"/>
  <c r="G27" i="4"/>
  <c r="G26" i="4" s="1"/>
  <c r="G7" i="7"/>
  <c r="G12" i="8" s="1"/>
  <c r="I33" i="4"/>
  <c r="D40" i="3"/>
  <c r="C40" i="3"/>
  <c r="K15" i="4"/>
  <c r="H24" i="4"/>
  <c r="H23" i="4" s="1"/>
  <c r="H10" i="7" s="1"/>
  <c r="I30" i="4"/>
  <c r="H15" i="4"/>
  <c r="H14" i="4" s="1"/>
  <c r="G4" i="11"/>
  <c r="K30" i="4"/>
  <c r="J15" i="4"/>
  <c r="G24" i="4"/>
  <c r="G23" i="4" s="1"/>
  <c r="G10" i="7" s="1"/>
  <c r="G4" i="14" s="1"/>
  <c r="G9" i="4"/>
  <c r="G8" i="4" s="1"/>
  <c r="G6" i="7" s="1"/>
  <c r="G16" i="8" s="1"/>
  <c r="K9" i="4"/>
  <c r="E18" i="8"/>
  <c r="D7" i="6"/>
  <c r="D10" i="6" s="1"/>
  <c r="D13" i="6" s="1"/>
  <c r="G30" i="4"/>
  <c r="G29" i="4" s="1"/>
  <c r="G17" i="7" s="1"/>
  <c r="G27" i="8" s="1"/>
  <c r="J21" i="4"/>
  <c r="J24" i="4"/>
  <c r="I9" i="4"/>
  <c r="G33" i="4"/>
  <c r="G32" i="4" s="1"/>
  <c r="G8" i="7" s="1"/>
  <c r="G19" i="8" s="1"/>
  <c r="G9" i="14"/>
  <c r="G5" i="4"/>
  <c r="G5" i="7" s="1"/>
  <c r="I21" i="4"/>
  <c r="K24" i="4"/>
  <c r="K27" i="4"/>
  <c r="H9" i="4"/>
  <c r="H8" i="4" s="1"/>
  <c r="H6" i="7" s="1"/>
  <c r="H33" i="4"/>
  <c r="H32" i="4" s="1"/>
  <c r="G21" i="4"/>
  <c r="G20" i="4" s="1"/>
  <c r="G16" i="7" s="1"/>
  <c r="G6" i="14" s="1"/>
  <c r="H30" i="4"/>
  <c r="H29" i="4" s="1"/>
  <c r="J33" i="4"/>
  <c r="H21" i="4"/>
  <c r="H20" i="4" s="1"/>
  <c r="H16" i="7" s="1"/>
  <c r="E40" i="3"/>
  <c r="G12" i="6"/>
  <c r="G9" i="8" s="1"/>
  <c r="H17" i="4"/>
  <c r="H15" i="7" s="1"/>
  <c r="H15" i="3"/>
  <c r="H6" i="6" s="1"/>
  <c r="H25" i="8"/>
  <c r="H21" i="3"/>
  <c r="H9" i="6" s="1"/>
  <c r="H27" i="3"/>
  <c r="I9" i="3"/>
  <c r="L3" i="13"/>
  <c r="C5" i="11"/>
  <c r="C6" i="11" s="1"/>
  <c r="E5" i="11"/>
  <c r="E6" i="11" s="1"/>
  <c r="K2" i="13"/>
  <c r="L2" i="13" s="1"/>
  <c r="E13" i="6"/>
  <c r="H5" i="4"/>
  <c r="C22" i="6"/>
  <c r="H14" i="8" l="1"/>
  <c r="I4" i="6"/>
  <c r="I39" i="3"/>
  <c r="H16" i="8"/>
  <c r="D5" i="11"/>
  <c r="D6" i="11" s="1"/>
  <c r="G18" i="8"/>
  <c r="H5" i="7"/>
  <c r="H9" i="7"/>
  <c r="H17" i="7"/>
  <c r="H27" i="8" s="1"/>
  <c r="H8" i="7"/>
  <c r="H19" i="8" s="1"/>
  <c r="H11" i="4"/>
  <c r="H7" i="7" s="1"/>
  <c r="H12" i="8" s="1"/>
  <c r="I29" i="4"/>
  <c r="I32" i="4"/>
  <c r="I26" i="4"/>
  <c r="I8" i="4"/>
  <c r="I6" i="7" s="1"/>
  <c r="I16" i="8" s="1"/>
  <c r="I17" i="4"/>
  <c r="I15" i="7" s="1"/>
  <c r="I14" i="8" s="1"/>
  <c r="G13" i="8"/>
  <c r="G15" i="8" s="1"/>
  <c r="H7" i="6"/>
  <c r="H6" i="14"/>
  <c r="H5" i="14"/>
  <c r="H4" i="14"/>
  <c r="G5" i="14"/>
  <c r="I23" i="4"/>
  <c r="I10" i="7" s="1"/>
  <c r="I15" i="3"/>
  <c r="C5" i="13"/>
  <c r="M3" i="13" s="1"/>
  <c r="G7" i="6"/>
  <c r="G10" i="6" s="1"/>
  <c r="G5" i="11" s="1"/>
  <c r="G6" i="11" s="1"/>
  <c r="J9" i="3"/>
  <c r="H12" i="6"/>
  <c r="H9" i="8" s="1"/>
  <c r="I21" i="3"/>
  <c r="I9" i="6" s="1"/>
  <c r="I25" i="8"/>
  <c r="I20" i="4"/>
  <c r="I16" i="7" s="1"/>
  <c r="I14" i="4"/>
  <c r="I9" i="7" s="1"/>
  <c r="I5" i="4"/>
  <c r="I27" i="3"/>
  <c r="E17" i="6"/>
  <c r="E4" i="8"/>
  <c r="D17" i="6"/>
  <c r="I11" i="4" l="1"/>
  <c r="I6" i="6"/>
  <c r="I7" i="6" s="1"/>
  <c r="J4" i="6"/>
  <c r="J4" i="11" s="1"/>
  <c r="J39" i="3"/>
  <c r="H10" i="6"/>
  <c r="H5" i="11" s="1"/>
  <c r="H6" i="11" s="1"/>
  <c r="I17" i="7"/>
  <c r="I27" i="8" s="1"/>
  <c r="I8" i="7"/>
  <c r="I19" i="8" s="1"/>
  <c r="H18" i="8"/>
  <c r="J29" i="4"/>
  <c r="J32" i="4"/>
  <c r="J26" i="4"/>
  <c r="J8" i="4"/>
  <c r="J6" i="7" s="1"/>
  <c r="J16" i="8" s="1"/>
  <c r="J17" i="4"/>
  <c r="J15" i="7" s="1"/>
  <c r="J14" i="8" s="1"/>
  <c r="H13" i="8"/>
  <c r="H15" i="8" s="1"/>
  <c r="I5" i="7"/>
  <c r="I13" i="8" s="1"/>
  <c r="J20" i="4"/>
  <c r="J16" i="7" s="1"/>
  <c r="J25" i="8"/>
  <c r="J27" i="3"/>
  <c r="J12" i="6" s="1"/>
  <c r="J9" i="8" s="1"/>
  <c r="J14" i="4"/>
  <c r="J9" i="7" s="1"/>
  <c r="K9" i="3"/>
  <c r="J21" i="3"/>
  <c r="J9" i="6" s="1"/>
  <c r="I4" i="14"/>
  <c r="J23" i="4"/>
  <c r="J10" i="7" s="1"/>
  <c r="J15" i="3"/>
  <c r="J6" i="6" s="1"/>
  <c r="I5" i="14"/>
  <c r="M2" i="13"/>
  <c r="N2" i="13" s="1"/>
  <c r="O3" i="13" s="1"/>
  <c r="I7" i="7"/>
  <c r="I12" i="8" s="1"/>
  <c r="J5" i="4"/>
  <c r="G13" i="6"/>
  <c r="I4" i="11"/>
  <c r="I12" i="6"/>
  <c r="I9" i="8" s="1"/>
  <c r="D22" i="6"/>
  <c r="D28" i="8" s="1"/>
  <c r="D19" i="6"/>
  <c r="E22" i="6"/>
  <c r="E28" i="8" s="1"/>
  <c r="E19" i="6"/>
  <c r="G7" i="14"/>
  <c r="H7" i="14"/>
  <c r="D26" i="8" l="1"/>
  <c r="D7" i="8"/>
  <c r="D10" i="8" s="1"/>
  <c r="D23" i="8" s="1"/>
  <c r="D29" i="8" s="1"/>
  <c r="K27" i="3"/>
  <c r="K4" i="6"/>
  <c r="K4" i="11" s="1"/>
  <c r="K39" i="3"/>
  <c r="H13" i="6"/>
  <c r="H4" i="8" s="1"/>
  <c r="H5" i="8" s="1"/>
  <c r="H7" i="8" s="1"/>
  <c r="H10" i="8" s="1"/>
  <c r="E6" i="8"/>
  <c r="E5" i="8" s="1"/>
  <c r="J7" i="6"/>
  <c r="J10" i="6" s="1"/>
  <c r="J13" i="6" s="1"/>
  <c r="J11" i="4"/>
  <c r="J7" i="7" s="1"/>
  <c r="J12" i="8" s="1"/>
  <c r="J17" i="7"/>
  <c r="J27" i="8" s="1"/>
  <c r="J8" i="7"/>
  <c r="J19" i="8" s="1"/>
  <c r="J18" i="8"/>
  <c r="I18" i="8"/>
  <c r="I10" i="6"/>
  <c r="I5" i="11" s="1"/>
  <c r="I6" i="11" s="1"/>
  <c r="K25" i="8"/>
  <c r="K29" i="4"/>
  <c r="K32" i="4"/>
  <c r="K26" i="4"/>
  <c r="K17" i="4"/>
  <c r="K15" i="7" s="1"/>
  <c r="K14" i="8" s="1"/>
  <c r="K8" i="4"/>
  <c r="K6" i="7" s="1"/>
  <c r="K16" i="8" s="1"/>
  <c r="I15" i="8"/>
  <c r="J5" i="7"/>
  <c r="J13" i="8" s="1"/>
  <c r="K20" i="4"/>
  <c r="K16" i="7" s="1"/>
  <c r="K15" i="3"/>
  <c r="K21" i="3"/>
  <c r="K9" i="6" s="1"/>
  <c r="K5" i="4"/>
  <c r="K14" i="4"/>
  <c r="K23" i="4"/>
  <c r="K10" i="7" s="1"/>
  <c r="J4" i="14"/>
  <c r="I6" i="14"/>
  <c r="J5" i="14"/>
  <c r="G4" i="8"/>
  <c r="G5" i="8" s="1"/>
  <c r="G7" i="8" s="1"/>
  <c r="G10" i="8" s="1"/>
  <c r="K12" i="6"/>
  <c r="K9" i="8" s="1"/>
  <c r="K11" i="4" l="1"/>
  <c r="K6" i="6"/>
  <c r="K7" i="6" s="1"/>
  <c r="K10" i="6" s="1"/>
  <c r="K13" i="6" s="1"/>
  <c r="I13" i="6"/>
  <c r="E26" i="8"/>
  <c r="E7" i="8"/>
  <c r="E10" i="8" s="1"/>
  <c r="E23" i="8" s="1"/>
  <c r="K5" i="7"/>
  <c r="K13" i="8" s="1"/>
  <c r="K9" i="7"/>
  <c r="K18" i="8" s="1"/>
  <c r="K17" i="7"/>
  <c r="K27" i="8" s="1"/>
  <c r="K8" i="7"/>
  <c r="K19" i="8" s="1"/>
  <c r="K6" i="14"/>
  <c r="K7" i="7"/>
  <c r="K12" i="8" s="1"/>
  <c r="J15" i="8"/>
  <c r="K5" i="14"/>
  <c r="K4" i="14"/>
  <c r="I7" i="14"/>
  <c r="J5" i="11"/>
  <c r="J6" i="11" s="1"/>
  <c r="D8" i="9"/>
  <c r="J4" i="8"/>
  <c r="E29" i="8" l="1"/>
  <c r="I4" i="8"/>
  <c r="I5" i="8" s="1"/>
  <c r="I7" i="8" s="1"/>
  <c r="I10" i="8" s="1"/>
  <c r="E8" i="9"/>
  <c r="K15" i="8"/>
  <c r="J6" i="14"/>
  <c r="J7" i="14" s="1"/>
  <c r="K5" i="11"/>
  <c r="K6" i="11" s="1"/>
  <c r="K7" i="14"/>
  <c r="J5" i="8"/>
  <c r="J7" i="8" s="1"/>
  <c r="J10" i="8" s="1"/>
  <c r="K4" i="8"/>
  <c r="E32" i="8" l="1"/>
  <c r="E35" i="8" s="1"/>
  <c r="K5" i="8"/>
  <c r="K7" i="8" s="1"/>
  <c r="K10" i="8" s="1"/>
  <c r="G16" i="6" l="1"/>
  <c r="G17" i="6" s="1"/>
  <c r="G20" i="6" s="1"/>
  <c r="G21" i="8" l="1"/>
  <c r="G26" i="8"/>
  <c r="G23" i="8" l="1"/>
  <c r="G8" i="9" s="1"/>
  <c r="G22" i="6"/>
  <c r="G14" i="7" s="1"/>
  <c r="G11" i="9" l="1"/>
  <c r="C4" i="12"/>
  <c r="C5" i="12"/>
  <c r="G28" i="8"/>
  <c r="G29" i="8" s="1"/>
  <c r="G19" i="7"/>
  <c r="G4" i="7" s="1"/>
  <c r="G12" i="7" s="1"/>
  <c r="G32" i="8" l="1"/>
  <c r="K16" i="6" l="1"/>
  <c r="K17" i="6" s="1"/>
  <c r="K20" i="6" s="1"/>
  <c r="I16" i="6"/>
  <c r="I17" i="6" s="1"/>
  <c r="I20" i="6" s="1"/>
  <c r="J16" i="6"/>
  <c r="J17" i="6" s="1"/>
  <c r="J20" i="6" s="1"/>
  <c r="H16" i="6"/>
  <c r="H21" i="8" s="1"/>
  <c r="H23" i="8" s="1"/>
  <c r="H17" i="6" l="1"/>
  <c r="I26" i="8"/>
  <c r="J26" i="8"/>
  <c r="J22" i="6"/>
  <c r="K26" i="8"/>
  <c r="K22" i="6"/>
  <c r="H8" i="9"/>
  <c r="H11" i="9" s="1"/>
  <c r="I21" i="8"/>
  <c r="I23" i="8" s="1"/>
  <c r="J21" i="8"/>
  <c r="J23" i="8" s="1"/>
  <c r="K21" i="8"/>
  <c r="K23" i="8" s="1"/>
  <c r="H20" i="6" l="1"/>
  <c r="H26" i="8" s="1"/>
  <c r="J8" i="9"/>
  <c r="J11" i="9" s="1"/>
  <c r="K8" i="9"/>
  <c r="C16" i="9" s="1"/>
  <c r="C17" i="9" s="1"/>
  <c r="I8" i="9"/>
  <c r="I11" i="9" s="1"/>
  <c r="D4" i="12"/>
  <c r="I22" i="6"/>
  <c r="H22" i="6" l="1"/>
  <c r="H14" i="7" s="1"/>
  <c r="I14" i="7" s="1"/>
  <c r="K11" i="9"/>
  <c r="C15" i="9" s="1"/>
  <c r="H28" i="8"/>
  <c r="H29" i="8" s="1"/>
  <c r="H19" i="7"/>
  <c r="H4" i="7" s="1"/>
  <c r="H12" i="7" s="1"/>
  <c r="F4" i="12"/>
  <c r="F5" i="12"/>
  <c r="E4" i="12"/>
  <c r="E5" i="12"/>
  <c r="G4" i="12"/>
  <c r="D5" i="12"/>
  <c r="I28" i="8" l="1"/>
  <c r="I29" i="8" s="1"/>
  <c r="I19" i="7"/>
  <c r="I4" i="7" s="1"/>
  <c r="J14" i="7"/>
  <c r="J28" i="8" s="1"/>
  <c r="J29" i="8" s="1"/>
  <c r="G5" i="12"/>
  <c r="C18" i="9"/>
  <c r="K14" i="7"/>
  <c r="J19" i="7" l="1"/>
  <c r="J4" i="7" s="1"/>
  <c r="E17" i="9"/>
  <c r="K19" i="7"/>
  <c r="K4" i="7" s="1"/>
  <c r="K28" i="8"/>
  <c r="K29" i="8" s="1"/>
  <c r="C21" i="9"/>
  <c r="D22" i="9" s="1"/>
  <c r="D23" i="9" s="1"/>
  <c r="G21" i="9"/>
  <c r="E15" i="9"/>
  <c r="H34" i="8" l="1"/>
  <c r="G21" i="7"/>
  <c r="H31" i="8"/>
  <c r="H32" i="8" s="1"/>
  <c r="G34" i="8"/>
  <c r="G35" i="8" s="1"/>
  <c r="I31" i="8" l="1"/>
  <c r="I32" i="8" s="1"/>
  <c r="H21" i="7"/>
  <c r="H35" i="8"/>
  <c r="I12" i="7" l="1"/>
  <c r="I21" i="7" s="1"/>
  <c r="J31" i="8"/>
  <c r="J32" i="8" s="1"/>
  <c r="I34" i="8"/>
  <c r="I35" i="8" s="1"/>
  <c r="J12" i="7" l="1"/>
  <c r="J21" i="7" s="1"/>
  <c r="K31" i="8"/>
  <c r="K32" i="8" s="1"/>
  <c r="J34" i="8"/>
  <c r="J35" i="8"/>
  <c r="K34" i="8" l="1"/>
  <c r="K35" i="8" s="1"/>
  <c r="K12" i="7"/>
  <c r="K21" i="7" s="1"/>
  <c r="D32" i="8"/>
  <c r="D35" i="8" s="1"/>
</calcChain>
</file>

<file path=xl/sharedStrings.xml><?xml version="1.0" encoding="utf-8"?>
<sst xmlns="http://schemas.openxmlformats.org/spreadsheetml/2006/main" count="431" uniqueCount="265">
  <si>
    <t>DCF Valuation</t>
  </si>
  <si>
    <t>Sheet index</t>
  </si>
  <si>
    <t xml:space="preserve">#                </t>
  </si>
  <si>
    <t>Worksheet</t>
  </si>
  <si>
    <t>1.Input --&gt;</t>
  </si>
  <si>
    <t>P&amp;L assumptions</t>
  </si>
  <si>
    <t>BS assumptions</t>
  </si>
  <si>
    <t>2.Output --&gt;</t>
  </si>
  <si>
    <t>P&amp;L</t>
  </si>
  <si>
    <t>BS</t>
  </si>
  <si>
    <t>Cash Flow</t>
  </si>
  <si>
    <t>DCF valuation</t>
  </si>
  <si>
    <t>3.Charts --&gt;</t>
  </si>
  <si>
    <t>Revenue&amp;Ebitda</t>
  </si>
  <si>
    <t>Cash flows</t>
  </si>
  <si>
    <t>Ebitda bridge</t>
  </si>
  <si>
    <t>Working capital</t>
  </si>
  <si>
    <t>DCF results</t>
  </si>
  <si>
    <t>4. Sources --&gt;</t>
  </si>
  <si>
    <t>P&amp;L source</t>
  </si>
  <si>
    <t>BS source</t>
  </si>
  <si>
    <t>Scenarios:</t>
  </si>
  <si>
    <t>Case 1:</t>
  </si>
  <si>
    <t>Optimistic case</t>
  </si>
  <si>
    <t>Case 2:</t>
  </si>
  <si>
    <t>Base case</t>
  </si>
  <si>
    <t>Selected case</t>
  </si>
  <si>
    <t>Case 3:</t>
  </si>
  <si>
    <t>Worst case</t>
  </si>
  <si>
    <t>Revenues</t>
  </si>
  <si>
    <t>y-o-y growth%</t>
  </si>
  <si>
    <t>y-o-y growth %</t>
  </si>
  <si>
    <t>Case 1</t>
  </si>
  <si>
    <t>Case 2</t>
  </si>
  <si>
    <t>Case 3</t>
  </si>
  <si>
    <t>% of revenues</t>
  </si>
  <si>
    <t>D&amp;A</t>
  </si>
  <si>
    <t>Taxes</t>
  </si>
  <si>
    <t>% of EBT</t>
  </si>
  <si>
    <t>PP&amp;E</t>
  </si>
  <si>
    <t>as a % of revenue</t>
  </si>
  <si>
    <t>Other assets</t>
  </si>
  <si>
    <t>Note</t>
  </si>
  <si>
    <t>Gross margin</t>
  </si>
  <si>
    <t>EBITDA</t>
  </si>
  <si>
    <t>EBIT</t>
  </si>
  <si>
    <t>EBT</t>
  </si>
  <si>
    <t>Tax rate</t>
  </si>
  <si>
    <t>Net income</t>
  </si>
  <si>
    <t>Balance Sheet</t>
  </si>
  <si>
    <t>Intangible assets</t>
  </si>
  <si>
    <t>Total Assets</t>
  </si>
  <si>
    <t>Total Liabilities &amp; Equities</t>
  </si>
  <si>
    <t>Check</t>
  </si>
  <si>
    <t>Operating taxes</t>
  </si>
  <si>
    <t>Operating tax rate</t>
  </si>
  <si>
    <t>NOPAT</t>
  </si>
  <si>
    <t>Add-back D&amp;A</t>
  </si>
  <si>
    <t>Gross Cash Flow</t>
  </si>
  <si>
    <t>1)</t>
  </si>
  <si>
    <t>Investments in working capital</t>
  </si>
  <si>
    <t>2)</t>
  </si>
  <si>
    <t>3)</t>
  </si>
  <si>
    <t>Capex</t>
  </si>
  <si>
    <t>4)</t>
  </si>
  <si>
    <t>Other investments</t>
  </si>
  <si>
    <t>5)</t>
  </si>
  <si>
    <t>Extraordinary items</t>
  </si>
  <si>
    <t>6)</t>
  </si>
  <si>
    <t>UFCF</t>
  </si>
  <si>
    <t>1) + 2) + 3) + 4) + 5) + 6)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</si>
  <si>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</si>
  <si>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</si>
  <si>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</si>
  <si>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</si>
  <si>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</si>
  <si>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</si>
  <si>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</si>
  <si>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</si>
  <si>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</si>
  <si>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</si>
  <si>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</si>
  <si>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</si>
  <si>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</si>
  <si>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</si>
  <si>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</si>
  <si>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</si>
  <si>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</si>
  <si>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</si>
  <si>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Revenues &amp; EBITDA</t>
  </si>
  <si>
    <t>EBITDA%</t>
  </si>
  <si>
    <t>Delta Revenues</t>
  </si>
  <si>
    <t>Delta Opex</t>
  </si>
  <si>
    <t>Scenario 1</t>
  </si>
  <si>
    <t>Scenario 2</t>
  </si>
  <si>
    <t>Scenario 3</t>
  </si>
  <si>
    <t>Enterprise Value</t>
  </si>
  <si>
    <t>CFs in Forecast period</t>
  </si>
  <si>
    <t>Continuing Value</t>
  </si>
  <si>
    <t>4.Sources --&gt;</t>
  </si>
  <si>
    <t>Revenue</t>
  </si>
  <si>
    <t>Other operating expenses</t>
  </si>
  <si>
    <t>Net Income</t>
  </si>
  <si>
    <t>Share Capital</t>
  </si>
  <si>
    <t>Reserves</t>
  </si>
  <si>
    <t>Retained earnings</t>
  </si>
  <si>
    <t>Total Equity</t>
  </si>
  <si>
    <t>Total Liabilities</t>
  </si>
  <si>
    <t>Total Liabilities &amp; Equity</t>
  </si>
  <si>
    <t>FY24
Actual</t>
  </si>
  <si>
    <t>FY23
Actual</t>
  </si>
  <si>
    <t>FY22
Actual</t>
  </si>
  <si>
    <t>FY25
Forecast</t>
  </si>
  <si>
    <t>FY26
Forecast</t>
  </si>
  <si>
    <t>FY27
Forecast</t>
  </si>
  <si>
    <t>FY28
Forecast</t>
  </si>
  <si>
    <t>FY29
Forecast</t>
  </si>
  <si>
    <t>31Dec22
Actual</t>
  </si>
  <si>
    <t>31Dec23
Actual</t>
  </si>
  <si>
    <t>31Dec24
Actual</t>
  </si>
  <si>
    <t>31Dec25
Forecast</t>
  </si>
  <si>
    <t>31Dec26
Forecast</t>
  </si>
  <si>
    <t>31Dec27
Forecast</t>
  </si>
  <si>
    <t>31Dec28
Forecast</t>
  </si>
  <si>
    <t>31Dec29
Forecast</t>
  </si>
  <si>
    <t>2022
Act</t>
  </si>
  <si>
    <t>2023
Act</t>
  </si>
  <si>
    <t>2024
Act</t>
  </si>
  <si>
    <t>31Dec22
Act</t>
  </si>
  <si>
    <t>31Dec23
Act</t>
  </si>
  <si>
    <t>31Dec24
Act</t>
  </si>
  <si>
    <t>AED in millions</t>
  </si>
  <si>
    <t>https://finance.yahoo.com/quote/EMAAR.AE/financials/</t>
  </si>
  <si>
    <t>Revenue from real-estate</t>
  </si>
  <si>
    <t>Revenue from hospitality</t>
  </si>
  <si>
    <t>Revenue from leased properties, retail and related income</t>
  </si>
  <si>
    <t>Cost of residential units</t>
  </si>
  <si>
    <t>Cost of commercial units, plots of land and others</t>
  </si>
  <si>
    <t>Write down of development properties</t>
  </si>
  <si>
    <t>Cost of revenue from hospitality</t>
  </si>
  <si>
    <t>Cost of revenue from leased properties, retail and related activities</t>
  </si>
  <si>
    <t>Gross Profit</t>
  </si>
  <si>
    <t>Cost of Revenue</t>
  </si>
  <si>
    <t>Other operating income</t>
  </si>
  <si>
    <t>Selling, general and administrative expenses (SG&amp;A)</t>
  </si>
  <si>
    <t>Other income</t>
  </si>
  <si>
    <t>Share of results of associates and joint ventures</t>
  </si>
  <si>
    <t>Finance income</t>
  </si>
  <si>
    <t>Finance costs</t>
  </si>
  <si>
    <t>Depreciation of property, plant and equipment</t>
  </si>
  <si>
    <t>Depreciation of investment properties</t>
  </si>
  <si>
    <t>Income tax expenses</t>
  </si>
  <si>
    <t>Impairment (non-cash loss)</t>
  </si>
  <si>
    <t>*US $1.00 = AED 3.673</t>
  </si>
  <si>
    <t>AED in millions*</t>
  </si>
  <si>
    <t>Current Assets</t>
  </si>
  <si>
    <t>Non-current assets</t>
  </si>
  <si>
    <t>Cash and cash equivalents</t>
  </si>
  <si>
    <t>Trade and unbilled receivables</t>
  </si>
  <si>
    <t>https://properties.emaar.com/investor-relations/2022/integrated-annual-reports/emaar-properties/pdf/Consolidated-Financial-Statements.pdf</t>
  </si>
  <si>
    <t>https://feeds.dfm.ae/documents/2024/Mar/15/93e7ffb5-5df5-4b5c-92be-aad9fdd52529/Emaar%20Properties%20PJSC%20-%20FS%202023%20-%20English.pdf</t>
  </si>
  <si>
    <t>https://properties.emaar.com/wp-content/uploads/2025/03/Emaar-Properties-IR-2024_English_F.pdf</t>
  </si>
  <si>
    <t>Development properties</t>
  </si>
  <si>
    <t>Assets classified as held for sale</t>
  </si>
  <si>
    <t>Investments in securities</t>
  </si>
  <si>
    <t>Investment properties</t>
  </si>
  <si>
    <t>Right-of-use assets</t>
  </si>
  <si>
    <t>Loans to associates and joint ventures</t>
  </si>
  <si>
    <t>Investments in associates and joint ventures</t>
  </si>
  <si>
    <t>Non-controlling interests</t>
  </si>
  <si>
    <t>Interest-bearing loans and borrowings</t>
  </si>
  <si>
    <t>Current Liabilities</t>
  </si>
  <si>
    <t>Trade and other payables</t>
  </si>
  <si>
    <t>Advances from customers</t>
  </si>
  <si>
    <t>Retentions payable</t>
  </si>
  <si>
    <t>Liabilities linked to held-for-sale assets</t>
  </si>
  <si>
    <t>Non-current Liabilities</t>
  </si>
  <si>
    <t>Sukuk**</t>
  </si>
  <si>
    <t>**Sukuk - Islamic bonds</t>
  </si>
  <si>
    <t>Employees' performance share program</t>
  </si>
  <si>
    <t>Equity attributable to owners of the Company</t>
  </si>
  <si>
    <t>Deferred income tax liabilities</t>
  </si>
  <si>
    <t>Provision for employees' end-of-service benefits</t>
  </si>
  <si>
    <t>Income tax payable</t>
  </si>
  <si>
    <t>Forecast Item</t>
  </si>
  <si>
    <t>Revenue Growth %</t>
  </si>
  <si>
    <t>Logic behind it</t>
  </si>
  <si>
    <t>Cost of Revenue %</t>
  </si>
  <si>
    <t>D&amp;A % of Revenue</t>
  </si>
  <si>
    <t>Extraordinary income % of Revenue</t>
  </si>
  <si>
    <t>Operating Expenses</t>
  </si>
  <si>
    <t>Interest expense  y-o-y growth</t>
  </si>
  <si>
    <t>Investment Properties</t>
  </si>
  <si>
    <t>AED</t>
  </si>
  <si>
    <t>AED (in millions)</t>
  </si>
  <si>
    <t>$ billion</t>
  </si>
  <si>
    <t>EBITDA FY24</t>
  </si>
  <si>
    <t>Delta Cost of Revenue</t>
  </si>
  <si>
    <t>EBITDA FY25</t>
  </si>
  <si>
    <t>DSO (Days receivable)</t>
  </si>
  <si>
    <t>DPO (Days payable)</t>
  </si>
  <si>
    <t>Property, plant and equipment (PP&amp;E)</t>
  </si>
  <si>
    <t>Financial Assets</t>
  </si>
  <si>
    <t>Other Liabilities</t>
  </si>
  <si>
    <t>Total Equity = Equity attributable to owners of the Company + Non-controlling interests</t>
  </si>
  <si>
    <t>Current Assets = Cash &amp; equivalents + Trade receivables + Other Assets + Development Properties</t>
  </si>
  <si>
    <t>Non-Current Assets = Financial assets + PP&amp;E + Investment properties + Intangible assets</t>
  </si>
  <si>
    <t>Current Liabilities = Trade and other payables + Advances from customers</t>
  </si>
  <si>
    <t>Non-Current Liabilities = Financial Liabilities + Other Liabilities</t>
  </si>
  <si>
    <t>What will be included in Balance Sheet during forecast</t>
  </si>
  <si>
    <t>Financial Liabilities</t>
  </si>
  <si>
    <t>More Detailed Statements</t>
  </si>
  <si>
    <t>Financial Assets = Investments in securities + Loans to associates and joint ventures + Investments in associates and joint ventures</t>
  </si>
  <si>
    <t>Financial Liabilities = Sukuk + Interest-bearing loans and borrowings</t>
  </si>
  <si>
    <t>Other Liabilities = Liabilities linked to held-for-sale assets + Income tax payable + Retentions payable + Deferred income tax liabilities + Provision for employees' end-of-service benefits</t>
  </si>
  <si>
    <t>Other Assets = Other assets + Assets classified as held for sale + Right-of-use assets (included to simplify model)</t>
  </si>
  <si>
    <t>Last year's equity + Net income</t>
  </si>
  <si>
    <t>Days receivable (DSO)</t>
  </si>
  <si>
    <t>Days payable (DPO)</t>
  </si>
  <si>
    <t>Investments in other assets/liabilities</t>
  </si>
  <si>
    <t>Other liabilities</t>
  </si>
  <si>
    <t>Operating Expense % of Revenue</t>
  </si>
  <si>
    <t>Extraordinary income</t>
  </si>
  <si>
    <t>Operating Expense</t>
  </si>
  <si>
    <t>Interest Expense</t>
  </si>
  <si>
    <t>Earnings Before Tax &amp; Extraordinary</t>
  </si>
  <si>
    <t>EBT (Profit Before Tax)</t>
  </si>
  <si>
    <t>EBITDA = Gross Profit - Operating Expenses</t>
  </si>
  <si>
    <t>EBIT = EBITDA - D&amp;A</t>
  </si>
  <si>
    <t>Earnings Before Tax &amp; Extraordinary = EBIT + Interest Expense</t>
  </si>
  <si>
    <t>EBT = Earnings Before Tax &amp; Extraordinary + Extraordinary Income</t>
  </si>
  <si>
    <t>Net Income = EBT - Income Tax expenses</t>
  </si>
  <si>
    <t>Taxes % of EBT</t>
  </si>
  <si>
    <t>-</t>
  </si>
  <si>
    <t>Tapering down 32,7% growth from FY24</t>
  </si>
  <si>
    <t>Matches historical range -43-50%</t>
  </si>
  <si>
    <t>Base on historical 8-13%</t>
  </si>
  <si>
    <t>Historical approximately -4% of Revenue</t>
  </si>
  <si>
    <t>UAE Corporate Tax after 2023</t>
  </si>
  <si>
    <t>Extraordinary Income</t>
  </si>
  <si>
    <t>$ million</t>
  </si>
  <si>
    <t>Interest Expense (Finance costs)</t>
  </si>
  <si>
    <t>Considering historical volatility</t>
  </si>
  <si>
    <t>Left flat, due to historical changes</t>
  </si>
  <si>
    <t>3 Statement Model (P&amp;L, BS, Cash Flow)</t>
  </si>
  <si>
    <t>Scenario</t>
  </si>
  <si>
    <t>Strategic Assumptions</t>
  </si>
  <si>
    <t>Case 1 - Optimistic</t>
  </si>
  <si>
    <t>Strong post-COVID recovery in international markets (Egypt, Saudi Arabia, India)</t>
  </si>
  <si>
    <t>Premium segment sales outperform</t>
  </si>
  <si>
    <t>Case 2 - Base</t>
  </si>
  <si>
    <t>Case 3 - Worst</t>
  </si>
  <si>
    <t>Golden Visa impact continues on the real estate market</t>
  </si>
  <si>
    <t>CapEx efficiency improves via phasing  (by breaking large capital investments into smaller, timed phases, company gets better returns)</t>
  </si>
  <si>
    <t>Stable growth in UAE market</t>
  </si>
  <si>
    <t>Gradual increase in overseas sales</t>
  </si>
  <si>
    <t>Margins consistent with 2023-2024 performance</t>
  </si>
  <si>
    <t>Continued reinvestment in core assets (Creek Harbour, Dubai Hills)</t>
  </si>
  <si>
    <t>Conservative CapEx, aligned with expansion</t>
  </si>
  <si>
    <t>Slower-than-expected uptake in international projects</t>
  </si>
  <si>
    <t>Margin compression due to inflation or pricing pressure</t>
  </si>
  <si>
    <t>Delays in approvals or infrastructure bottlenecks</t>
  </si>
  <si>
    <t>Revenue driven primarily by core UAE assets</t>
  </si>
  <si>
    <t>Cash absorbs small modeling differences (Cash-plug)</t>
  </si>
  <si>
    <t>While substantial effort was invested in constructing the Cash Flow Statement, given complexities in aligning detailed working capital adjustments with Emaar’s IFRS-based reporting, this section remains partially incomplete. Recognizing the trade-off between depth and project timelines, I decided to document the challenge transparently and prioritize moving forward with broader financial analysis.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</si>
</sst>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_);@_l"/>
    <numFmt numFmtId="169" formatCode="_(* #,##0_);_(* \(#,##0\);_(* &quot;-&quot;??_);_(@_)"/>
    <numFmt numFmtId="170" formatCode="_(* #,##0.00_);_(* \(#,##0.00\);_(* &quot;-&quot;?_);@_)"/>
    <numFmt numFmtId="171" formatCode="_(* #,##0.0_);_(* \(#,##0.0\);_(* &quot;-&quot;??_);_(@_)"/>
    <numFmt numFmtId="172" formatCode="0.0"/>
    <numFmt numFmtId="173" formatCode="_-* #,##0.00\ &quot;Kc&quot;_-;\-* #,##0.00\ &quot;Kc&quot;_-;_-* &quot;-&quot;??\ &quot;Kc&quot;_-;_-@_-"/>
    <numFmt numFmtId="174" formatCode="_-* #,##0\ _D_M_-;\-* #,##0\ _D_M_-;_-* &quot;-&quot;\ _D_M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-* #,##0.00\ _€_-;\-* #,##0.00\ _€_-;_-* &quot;-&quot;??\ _€_-;_-@_-"/>
    <numFmt numFmtId="181" formatCode="_(* #,##0.000_);_(* \(#,##0.000\);_(* &quot;-&quot;?_);@_)"/>
  </numFmts>
  <fonts count="73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  <font>
      <i/>
      <sz val="9"/>
      <color theme="1"/>
      <name val="Arial"/>
      <family val="2"/>
    </font>
    <font>
      <sz val="8"/>
      <name val="Calibri"/>
      <family val="2"/>
      <scheme val="minor"/>
    </font>
    <font>
      <b/>
      <i/>
      <sz val="9"/>
      <color theme="1"/>
      <name val="Arial"/>
      <family val="2"/>
    </font>
    <font>
      <b/>
      <sz val="14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37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6">
    <xf numFmtId="0" fontId="0" fillId="0" borderId="0"/>
    <xf numFmtId="0" fontId="5" fillId="0" borderId="1">
      <alignment horizontal="right" wrapText="1"/>
    </xf>
    <xf numFmtId="9" fontId="7" fillId="0" borderId="0"/>
    <xf numFmtId="43" fontId="7" fillId="0" borderId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/>
    <xf numFmtId="0" fontId="17" fillId="7" borderId="0"/>
    <xf numFmtId="0" fontId="17" fillId="8" borderId="0"/>
    <xf numFmtId="0" fontId="17" fillId="9" borderId="0"/>
    <xf numFmtId="0" fontId="17" fillId="10" borderId="0"/>
    <xf numFmtId="0" fontId="17" fillId="11" borderId="0"/>
    <xf numFmtId="0" fontId="17" fillId="12" borderId="0"/>
    <xf numFmtId="0" fontId="17" fillId="13" borderId="0"/>
    <xf numFmtId="0" fontId="17" fillId="14" borderId="0"/>
    <xf numFmtId="0" fontId="17" fillId="9" borderId="0"/>
    <xf numFmtId="0" fontId="17" fillId="12" borderId="0"/>
    <xf numFmtId="0" fontId="17" fillId="15" borderId="0"/>
    <xf numFmtId="0" fontId="18" fillId="16" borderId="0"/>
    <xf numFmtId="0" fontId="18" fillId="13" borderId="0"/>
    <xf numFmtId="0" fontId="18" fillId="14" borderId="0"/>
    <xf numFmtId="0" fontId="18" fillId="17" borderId="0"/>
    <xf numFmtId="0" fontId="18" fillId="18" borderId="0"/>
    <xf numFmtId="0" fontId="18" fillId="19" borderId="0"/>
    <xf numFmtId="0" fontId="18" fillId="20" borderId="0"/>
    <xf numFmtId="0" fontId="18" fillId="21" borderId="0"/>
    <xf numFmtId="0" fontId="18" fillId="22" borderId="0"/>
    <xf numFmtId="0" fontId="18" fillId="17" borderId="0"/>
    <xf numFmtId="0" fontId="18" fillId="18" borderId="0"/>
    <xf numFmtId="0" fontId="18" fillId="23" borderId="0"/>
    <xf numFmtId="0" fontId="12" fillId="0" borderId="0"/>
    <xf numFmtId="0" fontId="19" fillId="7" borderId="0"/>
    <xf numFmtId="0" fontId="20" fillId="24" borderId="6"/>
    <xf numFmtId="0" fontId="21" fillId="25" borderId="7"/>
    <xf numFmtId="49" fontId="13" fillId="0" borderId="0">
      <alignment horizontal="left" vertical="top" wrapText="1"/>
    </xf>
    <xf numFmtId="44" fontId="12" fillId="0" borderId="0"/>
    <xf numFmtId="0" fontId="22" fillId="0" borderId="0"/>
    <xf numFmtId="0" fontId="23" fillId="8" borderId="0"/>
    <xf numFmtId="38" fontId="13" fillId="26" borderId="0"/>
    <xf numFmtId="0" fontId="24" fillId="0" borderId="8"/>
    <xf numFmtId="0" fontId="25" fillId="0" borderId="9"/>
    <xf numFmtId="0" fontId="26" fillId="0" borderId="10"/>
    <xf numFmtId="0" fontId="26" fillId="0" borderId="0"/>
    <xf numFmtId="0" fontId="27" fillId="11" borderId="6"/>
    <xf numFmtId="10" fontId="13" fillId="5" borderId="11"/>
    <xf numFmtId="0" fontId="28" fillId="0" borderId="12"/>
    <xf numFmtId="173" fontId="29" fillId="0" borderId="0"/>
    <xf numFmtId="174" fontId="12" fillId="0" borderId="0"/>
    <xf numFmtId="4" fontId="30" fillId="0" borderId="0"/>
    <xf numFmtId="42" fontId="12" fillId="0" borderId="0"/>
    <xf numFmtId="175" fontId="12" fillId="0" borderId="0"/>
    <xf numFmtId="0" fontId="31" fillId="27" borderId="0"/>
    <xf numFmtId="176" fontId="32" fillId="0" borderId="0"/>
    <xf numFmtId="0" fontId="29" fillId="0" borderId="0"/>
    <xf numFmtId="0" fontId="17" fillId="28" borderId="13"/>
    <xf numFmtId="0" fontId="12" fillId="0" borderId="0"/>
    <xf numFmtId="0" fontId="12" fillId="0" borderId="0"/>
    <xf numFmtId="0" fontId="34" fillId="24" borderId="14"/>
    <xf numFmtId="9" fontId="12" fillId="0" borderId="0"/>
    <xf numFmtId="10" fontId="12" fillId="0" borderId="0"/>
    <xf numFmtId="9" fontId="17" fillId="0" borderId="0"/>
    <xf numFmtId="0" fontId="33" fillId="0" borderId="0">
      <alignment horizontal="left"/>
    </xf>
    <xf numFmtId="15" fontId="33" fillId="0" borderId="0"/>
    <xf numFmtId="4" fontId="33" fillId="0" borderId="0"/>
    <xf numFmtId="0" fontId="35" fillId="0" borderId="15">
      <alignment horizontal="center"/>
    </xf>
    <xf numFmtId="3" fontId="33" fillId="0" borderId="0"/>
    <xf numFmtId="0" fontId="33" fillId="29" borderId="0"/>
    <xf numFmtId="3" fontId="45" fillId="30" borderId="0"/>
    <xf numFmtId="4" fontId="36" fillId="31" borderId="14">
      <alignment vertical="center"/>
    </xf>
    <xf numFmtId="4" fontId="37" fillId="31" borderId="14">
      <alignment vertical="center"/>
    </xf>
    <xf numFmtId="4" fontId="36" fillId="31" borderId="14">
      <alignment horizontal="left" vertical="center" indent="1"/>
    </xf>
    <xf numFmtId="4" fontId="36" fillId="31" borderId="14">
      <alignment horizontal="left" vertical="center" indent="1"/>
    </xf>
    <xf numFmtId="0" fontId="12" fillId="32" borderId="14">
      <alignment horizontal="left" vertical="center" indent="1"/>
    </xf>
    <xf numFmtId="4" fontId="36" fillId="33" borderId="14">
      <alignment horizontal="right" vertical="center"/>
    </xf>
    <xf numFmtId="4" fontId="36" fillId="34" borderId="14">
      <alignment horizontal="right" vertical="center"/>
    </xf>
    <xf numFmtId="4" fontId="36" fillId="35" borderId="14">
      <alignment horizontal="right" vertical="center"/>
    </xf>
    <xf numFmtId="4" fontId="36" fillId="36" borderId="14">
      <alignment horizontal="right" vertical="center"/>
    </xf>
    <xf numFmtId="4" fontId="36" fillId="37" borderId="14">
      <alignment horizontal="right" vertical="center"/>
    </xf>
    <xf numFmtId="4" fontId="36" fillId="38" borderId="14">
      <alignment horizontal="right" vertical="center"/>
    </xf>
    <xf numFmtId="4" fontId="36" fillId="39" borderId="14">
      <alignment horizontal="right" vertical="center"/>
    </xf>
    <xf numFmtId="4" fontId="36" fillId="40" borderId="14">
      <alignment horizontal="right" vertical="center"/>
    </xf>
    <xf numFmtId="4" fontId="36" fillId="41" borderId="14">
      <alignment horizontal="right" vertical="center"/>
    </xf>
    <xf numFmtId="4" fontId="38" fillId="42" borderId="14">
      <alignment horizontal="left" vertical="center" indent="1"/>
    </xf>
    <xf numFmtId="4" fontId="36" fillId="43" borderId="16">
      <alignment horizontal="left" vertical="center" indent="1"/>
    </xf>
    <xf numFmtId="4" fontId="39" fillId="44" borderId="0">
      <alignment horizontal="left" vertical="center" indent="1"/>
    </xf>
    <xf numFmtId="0" fontId="12" fillId="32" borderId="14">
      <alignment horizontal="left" vertical="center" indent="1"/>
    </xf>
    <xf numFmtId="4" fontId="36" fillId="43" borderId="14">
      <alignment horizontal="left" vertical="center" indent="1"/>
    </xf>
    <xf numFmtId="4" fontId="36" fillId="45" borderId="14">
      <alignment horizontal="left" vertical="center" indent="1"/>
    </xf>
    <xf numFmtId="0" fontId="12" fillId="45" borderId="14">
      <alignment horizontal="left" vertical="center" indent="1"/>
    </xf>
    <xf numFmtId="0" fontId="12" fillId="45" borderId="14">
      <alignment horizontal="left" vertical="center" indent="1"/>
    </xf>
    <xf numFmtId="0" fontId="12" fillId="46" borderId="14">
      <alignment horizontal="left" vertical="center" indent="1"/>
    </xf>
    <xf numFmtId="0" fontId="12" fillId="46" borderId="14">
      <alignment horizontal="left" vertical="center" indent="1"/>
    </xf>
    <xf numFmtId="0" fontId="12" fillId="26" borderId="14">
      <alignment horizontal="left" vertical="center" indent="1"/>
    </xf>
    <xf numFmtId="0" fontId="12" fillId="26" borderId="14">
      <alignment horizontal="left" vertical="center" indent="1"/>
    </xf>
    <xf numFmtId="0" fontId="12" fillId="32" borderId="14">
      <alignment horizontal="left" vertical="center" indent="1"/>
    </xf>
    <xf numFmtId="0" fontId="12" fillId="32" borderId="14">
      <alignment horizontal="left" vertical="center" indent="1"/>
    </xf>
    <xf numFmtId="4" fontId="36" fillId="5" borderId="14">
      <alignment vertical="center"/>
    </xf>
    <xf numFmtId="4" fontId="37" fillId="5" borderId="14">
      <alignment vertical="center"/>
    </xf>
    <xf numFmtId="4" fontId="36" fillId="5" borderId="14">
      <alignment horizontal="left" vertical="center" indent="1"/>
    </xf>
    <xf numFmtId="4" fontId="36" fillId="5" borderId="14">
      <alignment horizontal="left" vertical="center" indent="1"/>
    </xf>
    <xf numFmtId="4" fontId="36" fillId="43" borderId="14">
      <alignment horizontal="right" vertical="center"/>
    </xf>
    <xf numFmtId="4" fontId="37" fillId="43" borderId="14">
      <alignment horizontal="right" vertical="center"/>
    </xf>
    <xf numFmtId="0" fontId="12" fillId="32" borderId="14">
      <alignment horizontal="left" vertical="center" indent="1"/>
    </xf>
    <xf numFmtId="0" fontId="12" fillId="32" borderId="14">
      <alignment horizontal="left" vertical="center" indent="1"/>
    </xf>
    <xf numFmtId="0" fontId="40" fillId="0" borderId="0"/>
    <xf numFmtId="4" fontId="14" fillId="43" borderId="14">
      <alignment horizontal="right" vertical="center"/>
    </xf>
    <xf numFmtId="0" fontId="12" fillId="0" borderId="0"/>
    <xf numFmtId="0" fontId="41" fillId="0" borderId="0"/>
    <xf numFmtId="0" fontId="42" fillId="0" borderId="17"/>
    <xf numFmtId="3" fontId="43" fillId="0" borderId="2"/>
    <xf numFmtId="0" fontId="44" fillId="0" borderId="0"/>
    <xf numFmtId="0" fontId="12" fillId="0" borderId="0"/>
    <xf numFmtId="0" fontId="7" fillId="0" borderId="0"/>
    <xf numFmtId="0" fontId="46" fillId="0" borderId="0"/>
    <xf numFmtId="9" fontId="7" fillId="0" borderId="0"/>
    <xf numFmtId="0" fontId="47" fillId="0" borderId="0"/>
    <xf numFmtId="0" fontId="48" fillId="0" borderId="0"/>
    <xf numFmtId="0" fontId="49" fillId="0" borderId="0"/>
    <xf numFmtId="177" fontId="50" fillId="0" borderId="0"/>
    <xf numFmtId="177" fontId="12" fillId="0" borderId="0"/>
    <xf numFmtId="177" fontId="52" fillId="0" borderId="0"/>
    <xf numFmtId="0" fontId="53" fillId="0" borderId="0">
      <alignment horizontal="left"/>
    </xf>
    <xf numFmtId="41" fontId="51" fillId="0" borderId="18">
      <alignment horizontal="right" vertical="top"/>
    </xf>
    <xf numFmtId="177" fontId="54" fillId="0" borderId="18">
      <alignment horizontal="left"/>
    </xf>
    <xf numFmtId="0" fontId="53" fillId="0" borderId="18">
      <alignment horizontal="right" wrapText="1"/>
    </xf>
    <xf numFmtId="0" fontId="51" fillId="0" borderId="0">
      <alignment horizontal="left" vertical="top" wrapText="1"/>
    </xf>
    <xf numFmtId="178" fontId="51" fillId="0" borderId="0">
      <alignment horizontal="right" vertical="top"/>
    </xf>
    <xf numFmtId="179" fontId="51" fillId="0" borderId="0">
      <alignment horizontal="right" vertical="top"/>
    </xf>
    <xf numFmtId="49" fontId="51" fillId="0" borderId="0">
      <alignment horizontal="center" vertical="top"/>
    </xf>
    <xf numFmtId="177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80" fontId="7" fillId="0" borderId="0"/>
    <xf numFmtId="9" fontId="7" fillId="0" borderId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/>
  </cellStyleXfs>
  <cellXfs count="14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6" fillId="2" borderId="0" xfId="0" applyNumberFormat="1" applyFont="1" applyFill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1" fillId="2" borderId="0" xfId="0" applyNumberFormat="1" applyFont="1" applyFill="1"/>
    <xf numFmtId="166" fontId="1" fillId="2" borderId="3" xfId="0" applyNumberFormat="1" applyFont="1" applyFill="1" applyBorder="1"/>
    <xf numFmtId="168" fontId="1" fillId="2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6" fillId="2" borderId="0" xfId="0" applyNumberFormat="1" applyFont="1" applyFill="1"/>
    <xf numFmtId="166" fontId="1" fillId="2" borderId="0" xfId="0" applyNumberFormat="1" applyFont="1" applyFill="1" applyAlignment="1">
      <alignment horizontal="right"/>
    </xf>
    <xf numFmtId="169" fontId="1" fillId="2" borderId="0" xfId="0" applyNumberFormat="1" applyFont="1" applyFill="1"/>
    <xf numFmtId="169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4" fontId="10" fillId="2" borderId="0" xfId="0" applyNumberFormat="1" applyFont="1" applyFill="1"/>
    <xf numFmtId="165" fontId="9" fillId="2" borderId="0" xfId="0" applyNumberFormat="1" applyFont="1" applyFill="1"/>
    <xf numFmtId="166" fontId="9" fillId="2" borderId="0" xfId="0" applyNumberFormat="1" applyFont="1" applyFill="1"/>
    <xf numFmtId="0" fontId="11" fillId="2" borderId="0" xfId="165" applyFont="1" applyFill="1"/>
    <xf numFmtId="170" fontId="1" fillId="2" borderId="0" xfId="0" applyNumberFormat="1" applyFont="1" applyFill="1"/>
    <xf numFmtId="164" fontId="1" fillId="47" borderId="0" xfId="0" applyNumberFormat="1" applyFont="1" applyFill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1" fillId="2" borderId="19" xfId="0" applyNumberFormat="1" applyFont="1" applyFill="1" applyBorder="1"/>
    <xf numFmtId="164" fontId="10" fillId="4" borderId="0" xfId="0" applyNumberFormat="1" applyFont="1" applyFill="1"/>
    <xf numFmtId="166" fontId="10" fillId="4" borderId="0" xfId="0" applyNumberFormat="1" applyFont="1" applyFill="1"/>
    <xf numFmtId="164" fontId="11" fillId="2" borderId="0" xfId="0" applyNumberFormat="1" applyFont="1" applyFill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5" fontId="6" fillId="2" borderId="0" xfId="0" applyNumberFormat="1" applyFont="1" applyFill="1"/>
    <xf numFmtId="166" fontId="11" fillId="2" borderId="19" xfId="0" applyNumberFormat="1" applyFont="1" applyFill="1" applyBorder="1"/>
    <xf numFmtId="165" fontId="43" fillId="2" borderId="0" xfId="0" applyNumberFormat="1" applyFont="1" applyFill="1"/>
    <xf numFmtId="165" fontId="1" fillId="2" borderId="19" xfId="0" applyNumberFormat="1" applyFont="1" applyFill="1" applyBorder="1"/>
    <xf numFmtId="165" fontId="11" fillId="2" borderId="0" xfId="0" applyNumberFormat="1" applyFont="1" applyFill="1"/>
    <xf numFmtId="165" fontId="1" fillId="3" borderId="0" xfId="0" applyNumberFormat="1" applyFont="1" applyFill="1"/>
    <xf numFmtId="165" fontId="65" fillId="2" borderId="0" xfId="0" applyNumberFormat="1" applyFont="1" applyFill="1"/>
    <xf numFmtId="164" fontId="66" fillId="2" borderId="0" xfId="0" applyNumberFormat="1" applyFont="1" applyFill="1"/>
    <xf numFmtId="165" fontId="13" fillId="2" borderId="0" xfId="0" applyNumberFormat="1" applyFont="1" applyFill="1"/>
    <xf numFmtId="164" fontId="6" fillId="3" borderId="19" xfId="0" applyNumberFormat="1" applyFont="1" applyFill="1" applyBorder="1"/>
    <xf numFmtId="164" fontId="6" fillId="3" borderId="0" xfId="0" applyNumberFormat="1" applyFont="1" applyFill="1"/>
    <xf numFmtId="165" fontId="6" fillId="3" borderId="0" xfId="0" applyNumberFormat="1" applyFont="1" applyFill="1"/>
    <xf numFmtId="167" fontId="67" fillId="4" borderId="0" xfId="2" applyNumberFormat="1" applyFont="1" applyFill="1"/>
    <xf numFmtId="43" fontId="1" fillId="3" borderId="0" xfId="3" applyFont="1" applyFill="1"/>
    <xf numFmtId="166" fontId="6" fillId="3" borderId="19" xfId="0" applyNumberFormat="1" applyFont="1" applyFill="1" applyBorder="1"/>
    <xf numFmtId="164" fontId="64" fillId="2" borderId="19" xfId="0" applyNumberFormat="1" applyFont="1" applyFill="1" applyBorder="1"/>
    <xf numFmtId="166" fontId="68" fillId="2" borderId="0" xfId="0" applyNumberFormat="1" applyFont="1" applyFill="1"/>
    <xf numFmtId="169" fontId="1" fillId="2" borderId="0" xfId="3" applyNumberFormat="1" applyFont="1" applyFill="1"/>
    <xf numFmtId="169" fontId="1" fillId="3" borderId="0" xfId="3" applyNumberFormat="1" applyFont="1" applyFill="1"/>
    <xf numFmtId="167" fontId="1" fillId="3" borderId="0" xfId="2" applyNumberFormat="1" applyFont="1" applyFill="1"/>
    <xf numFmtId="172" fontId="65" fillId="2" borderId="0" xfId="0" applyNumberFormat="1" applyFont="1" applyFill="1" applyAlignment="1">
      <alignment horizontal="left"/>
    </xf>
    <xf numFmtId="172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72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69" fontId="3" fillId="2" borderId="19" xfId="3" applyNumberFormat="1" applyFont="1" applyFill="1" applyBorder="1"/>
    <xf numFmtId="169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7" fontId="1" fillId="2" borderId="0" xfId="0" applyNumberFormat="1" applyFont="1" applyFill="1"/>
    <xf numFmtId="0" fontId="63" fillId="0" borderId="0" xfId="165"/>
    <xf numFmtId="164" fontId="3" fillId="2" borderId="0" xfId="0" applyNumberFormat="1" applyFont="1" applyFill="1"/>
    <xf numFmtId="166" fontId="3" fillId="2" borderId="0" xfId="0" applyNumberFormat="1" applyFont="1" applyFill="1"/>
    <xf numFmtId="9" fontId="1" fillId="2" borderId="0" xfId="0" applyNumberFormat="1" applyFont="1" applyFill="1"/>
    <xf numFmtId="167" fontId="1" fillId="2" borderId="0" xfId="2" applyNumberFormat="1" applyFont="1" applyFill="1" applyAlignment="1">
      <alignment horizontal="right"/>
    </xf>
    <xf numFmtId="10" fontId="8" fillId="2" borderId="0" xfId="0" applyNumberFormat="1" applyFont="1" applyFill="1"/>
    <xf numFmtId="9" fontId="8" fillId="3" borderId="0" xfId="2" applyFont="1" applyFill="1"/>
    <xf numFmtId="10" fontId="8" fillId="3" borderId="0" xfId="0" applyNumberFormat="1" applyFont="1" applyFill="1"/>
    <xf numFmtId="170" fontId="1" fillId="3" borderId="0" xfId="0" applyNumberFormat="1" applyFont="1" applyFill="1"/>
    <xf numFmtId="166" fontId="1" fillId="0" borderId="0" xfId="0" applyNumberFormat="1" applyFont="1"/>
    <xf numFmtId="171" fontId="1" fillId="2" borderId="0" xfId="3" applyNumberFormat="1" applyFont="1" applyFill="1"/>
    <xf numFmtId="167" fontId="64" fillId="2" borderId="2" xfId="2" applyNumberFormat="1" applyFont="1" applyFill="1" applyBorder="1"/>
    <xf numFmtId="167" fontId="64" fillId="2" borderId="21" xfId="2" applyNumberFormat="1" applyFont="1" applyFill="1" applyBorder="1"/>
    <xf numFmtId="166" fontId="3" fillId="3" borderId="0" xfId="0" applyNumberFormat="1" applyFont="1" applyFill="1"/>
    <xf numFmtId="164" fontId="71" fillId="2" borderId="0" xfId="0" applyNumberFormat="1" applyFont="1" applyFill="1"/>
    <xf numFmtId="164" fontId="69" fillId="2" borderId="0" xfId="0" applyNumberFormat="1" applyFont="1" applyFill="1"/>
    <xf numFmtId="166" fontId="69" fillId="2" borderId="0" xfId="0" applyNumberFormat="1" applyFont="1" applyFill="1"/>
    <xf numFmtId="164" fontId="71" fillId="2" borderId="19" xfId="0" applyNumberFormat="1" applyFont="1" applyFill="1" applyBorder="1"/>
    <xf numFmtId="164" fontId="3" fillId="2" borderId="0" xfId="0" applyNumberFormat="1" applyFont="1" applyFill="1" applyAlignment="1">
      <alignment horizontal="right" wrapText="1"/>
    </xf>
    <xf numFmtId="9" fontId="1" fillId="2" borderId="0" xfId="0" applyNumberFormat="1" applyFont="1" applyFill="1" applyAlignment="1">
      <alignment horizontal="right"/>
    </xf>
    <xf numFmtId="10" fontId="1" fillId="2" borderId="0" xfId="0" applyNumberFormat="1" applyFont="1" applyFill="1"/>
    <xf numFmtId="164" fontId="1" fillId="2" borderId="19" xfId="0" applyNumberFormat="1" applyFont="1" applyFill="1" applyBorder="1"/>
    <xf numFmtId="164" fontId="6" fillId="2" borderId="11" xfId="0" applyNumberFormat="1" applyFont="1" applyFill="1" applyBorder="1" applyAlignment="1">
      <alignment horizontal="center"/>
    </xf>
    <xf numFmtId="164" fontId="1" fillId="2" borderId="0" xfId="0" applyNumberFormat="1" applyFont="1" applyFill="1" applyAlignment="1">
      <alignment wrapText="1"/>
    </xf>
    <xf numFmtId="164" fontId="6" fillId="2" borderId="0" xfId="0" applyNumberFormat="1" applyFont="1" applyFill="1" applyAlignment="1">
      <alignment vertical="center"/>
    </xf>
    <xf numFmtId="181" fontId="1" fillId="2" borderId="0" xfId="0" applyNumberFormat="1" applyFont="1" applyFill="1"/>
    <xf numFmtId="170" fontId="1" fillId="0" borderId="0" xfId="0" applyNumberFormat="1" applyFont="1"/>
    <xf numFmtId="164" fontId="6" fillId="2" borderId="11" xfId="0" applyNumberFormat="1" applyFont="1" applyFill="1" applyBorder="1" applyAlignment="1">
      <alignment horizontal="center"/>
    </xf>
    <xf numFmtId="164" fontId="1" fillId="2" borderId="11" xfId="0" applyNumberFormat="1" applyFont="1" applyFill="1" applyBorder="1" applyAlignment="1">
      <alignment horizontal="left"/>
    </xf>
    <xf numFmtId="164" fontId="1" fillId="2" borderId="22" xfId="0" applyNumberFormat="1" applyFont="1" applyFill="1" applyBorder="1" applyAlignment="1">
      <alignment horizontal="left" vertical="center"/>
    </xf>
    <xf numFmtId="164" fontId="1" fillId="2" borderId="19" xfId="0" applyNumberFormat="1" applyFont="1" applyFill="1" applyBorder="1" applyAlignment="1">
      <alignment horizontal="left" vertical="center"/>
    </xf>
    <xf numFmtId="164" fontId="1" fillId="2" borderId="29" xfId="0" applyNumberFormat="1" applyFont="1" applyFill="1" applyBorder="1" applyAlignment="1">
      <alignment horizontal="left" vertical="center"/>
    </xf>
    <xf numFmtId="164" fontId="1" fillId="2" borderId="23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4" fontId="1" fillId="2" borderId="21" xfId="0" applyNumberFormat="1" applyFont="1" applyFill="1" applyBorder="1" applyAlignment="1">
      <alignment horizontal="left" vertical="center"/>
    </xf>
    <xf numFmtId="164" fontId="1" fillId="2" borderId="27" xfId="0" applyNumberFormat="1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164" fontId="1" fillId="2" borderId="28" xfId="0" applyNumberFormat="1" applyFont="1" applyFill="1" applyBorder="1" applyAlignment="1">
      <alignment horizontal="left" vertical="center"/>
    </xf>
    <xf numFmtId="164" fontId="6" fillId="2" borderId="11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left" wrapText="1"/>
    </xf>
    <xf numFmtId="164" fontId="1" fillId="2" borderId="11" xfId="0" applyNumberFormat="1" applyFont="1" applyFill="1" applyBorder="1" applyAlignment="1">
      <alignment horizontal="left" vertical="center"/>
    </xf>
    <xf numFmtId="164" fontId="1" fillId="2" borderId="24" xfId="0" applyNumberFormat="1" applyFont="1" applyFill="1" applyBorder="1" applyAlignment="1">
      <alignment horizontal="left"/>
    </xf>
    <xf numFmtId="164" fontId="1" fillId="2" borderId="25" xfId="0" applyNumberFormat="1" applyFont="1" applyFill="1" applyBorder="1" applyAlignment="1">
      <alignment horizontal="left"/>
    </xf>
    <xf numFmtId="164" fontId="1" fillId="2" borderId="26" xfId="0" applyNumberFormat="1" applyFont="1" applyFill="1" applyBorder="1" applyAlignment="1">
      <alignment horizontal="left"/>
    </xf>
    <xf numFmtId="164" fontId="67" fillId="4" borderId="0" xfId="0" applyNumberFormat="1" applyFont="1" applyFill="1" applyAlignment="1">
      <alignment horizontal="center"/>
    </xf>
    <xf numFmtId="164" fontId="1" fillId="2" borderId="0" xfId="0" applyNumberFormat="1" applyFont="1" applyFill="1"/>
    <xf numFmtId="0" fontId="72" fillId="0" borderId="30" xfId="0" applyFont="1" applyBorder="1" applyAlignment="1">
      <alignment horizontal="center" vertical="center" wrapText="1"/>
    </xf>
    <xf numFmtId="0" fontId="72" fillId="0" borderId="31" xfId="0" applyFont="1" applyBorder="1" applyAlignment="1">
      <alignment horizontal="center" vertical="center" wrapText="1"/>
    </xf>
    <xf numFmtId="0" fontId="72" fillId="0" borderId="32" xfId="0" applyFont="1" applyBorder="1" applyAlignment="1">
      <alignment horizontal="center" vertical="center" wrapText="1"/>
    </xf>
    <xf numFmtId="0" fontId="72" fillId="0" borderId="33" xfId="0" applyFont="1" applyBorder="1" applyAlignment="1">
      <alignment horizontal="center" vertical="center" wrapText="1"/>
    </xf>
    <xf numFmtId="0" fontId="72" fillId="0" borderId="0" xfId="0" applyFont="1" applyBorder="1" applyAlignment="1">
      <alignment horizontal="center" vertical="center" wrapText="1"/>
    </xf>
    <xf numFmtId="0" fontId="72" fillId="0" borderId="34" xfId="0" applyFont="1" applyBorder="1" applyAlignment="1">
      <alignment horizontal="center" vertical="center" wrapText="1"/>
    </xf>
    <xf numFmtId="0" fontId="72" fillId="0" borderId="35" xfId="0" applyFont="1" applyBorder="1" applyAlignment="1">
      <alignment horizontal="center" vertical="center" wrapText="1"/>
    </xf>
    <xf numFmtId="0" fontId="72" fillId="0" borderId="15" xfId="0" applyFont="1" applyBorder="1" applyAlignment="1">
      <alignment horizontal="center" vertical="center" wrapText="1"/>
    </xf>
    <xf numFmtId="0" fontId="72" fillId="0" borderId="36" xfId="0" applyFont="1" applyBorder="1" applyAlignment="1">
      <alignment horizontal="center" vertical="center" wrapText="1"/>
    </xf>
  </cellXfs>
  <cellStyles count="166">
    <cellStyle name="_060510 Goal Setting CNV" xfId="6" xr:uid="{00000000-0005-0000-0000-000006000000}"/>
    <cellStyle name="_2008-08-18 WC SRL" xfId="7" xr:uid="{00000000-0005-0000-0000-000007000000}"/>
    <cellStyle name="_2008-10-06 Goodwill Test KPMG incl PL 19 (2)" xfId="8" xr:uid="{00000000-0005-0000-0000-000008000000}"/>
    <cellStyle name="_2008-10-06 Goodwill Test KPMG incl PL 19 (3)" xfId="9" xr:uid="{00000000-0005-0000-0000-000009000000}"/>
    <cellStyle name="_2009-03-17 Version für 53-19" xfId="10" xr:uid="{00000000-0005-0000-0000-00000A000000}"/>
    <cellStyle name="_Access Bluebook 2007 DCL V7" xfId="11" xr:uid="{00000000-0005-0000-0000-00000B000000}"/>
    <cellStyle name="_AL_cost_outlook_070405_Bluebook2007" xfId="12" xr:uid="{00000000-0005-0000-0000-00000C000000}"/>
    <cellStyle name="_BB_08_BG_COM" xfId="13" xr:uid="{00000000-0005-0000-0000-00000D000000}"/>
    <cellStyle name="_Bluebook-2005-PL-Projections-COM-SR2" xfId="14" xr:uid="{00000000-0005-0000-0000-00000E000000}"/>
    <cellStyle name="_COM Cash Flow Bluebook 2008" xfId="15" xr:uid="{00000000-0005-0000-0000-00000F000000}"/>
    <cellStyle name="_Cordless_Bizcase_070524" xfId="16" xr:uid="{00000000-0005-0000-0000-000010000000}"/>
    <cellStyle name="_Cordless_Bizcase_Bluebook (2)" xfId="17" xr:uid="{00000000-0005-0000-0000-000011000000}"/>
    <cellStyle name="_Cordless_Bizcase_Master" xfId="18" xr:uid="{00000000-0005-0000-0000-000012000000}"/>
    <cellStyle name="_Data" xfId="19" xr:uid="{00000000-0005-0000-0000-000013000000}"/>
    <cellStyle name="_Foundry Wafer Price Database - BU" xfId="20" xr:uid="{00000000-0005-0000-0000-000014000000}"/>
    <cellStyle name="_Segment_DCL_FRFC_2007_03" xfId="21" xr:uid="{00000000-0005-0000-0000-000015000000}"/>
    <cellStyle name="_SR_CSP_Segments" xfId="22" xr:uid="{00000000-0005-0000-0000-000016000000}"/>
    <cellStyle name="_Wireless_MPP_FRFC0810_V3" xfId="23" xr:uid="{00000000-0005-0000-0000-000017000000}"/>
    <cellStyle name="_WLS_MPP_BB2008_vs_VRFC0904_bw (2)" xfId="24" xr:uid="{00000000-0005-0000-0000-000018000000}"/>
    <cellStyle name="_x0002_._x0011__x0002_._x001b__x0002_ _x0015_%_x0018__x0001_" xfId="5" xr:uid="{00000000-0005-0000-0000-000005000000}"/>
    <cellStyle name="%" xfId="135" xr:uid="{00000000-0005-0000-0000-000087000000}"/>
    <cellStyle name="0,0_x000d__x000a_NA_x000d__x000a_" xfId="25" xr:uid="{00000000-0005-0000-0000-000019000000}"/>
    <cellStyle name="20% - Accent1 2" xfId="26" xr:uid="{00000000-0005-0000-0000-00001A000000}"/>
    <cellStyle name="20% - Accent2 2" xfId="27" xr:uid="{00000000-0005-0000-0000-00001B000000}"/>
    <cellStyle name="20% - Accent3 2" xfId="28" xr:uid="{00000000-0005-0000-0000-00001C000000}"/>
    <cellStyle name="20% - Accent4 2" xfId="29" xr:uid="{00000000-0005-0000-0000-00001D000000}"/>
    <cellStyle name="20% - Accent5 2" xfId="30" xr:uid="{00000000-0005-0000-0000-00001E000000}"/>
    <cellStyle name="20% - Accent6 2" xfId="31" xr:uid="{00000000-0005-0000-0000-00001F000000}"/>
    <cellStyle name="40% - Accent1 2" xfId="32" xr:uid="{00000000-0005-0000-0000-000020000000}"/>
    <cellStyle name="40% - Accent2 2" xfId="33" xr:uid="{00000000-0005-0000-0000-000021000000}"/>
    <cellStyle name="40% - Accent3 2" xfId="34" xr:uid="{00000000-0005-0000-0000-000022000000}"/>
    <cellStyle name="40% - Accent4 2" xfId="35" xr:uid="{00000000-0005-0000-0000-000023000000}"/>
    <cellStyle name="40% - Accent5 2" xfId="36" xr:uid="{00000000-0005-0000-0000-000024000000}"/>
    <cellStyle name="40% - Accent6 2" xfId="37" xr:uid="{00000000-0005-0000-0000-000025000000}"/>
    <cellStyle name="60% - Accent1 2" xfId="38" xr:uid="{00000000-0005-0000-0000-000026000000}"/>
    <cellStyle name="60% - Accent2 2" xfId="39" xr:uid="{00000000-0005-0000-0000-000027000000}"/>
    <cellStyle name="60% - Accent3 2" xfId="40" xr:uid="{00000000-0005-0000-0000-000028000000}"/>
    <cellStyle name="60% - Accent4 2" xfId="41" xr:uid="{00000000-0005-0000-0000-000029000000}"/>
    <cellStyle name="60% - Accent5 2" xfId="42" xr:uid="{00000000-0005-0000-0000-00002A000000}"/>
    <cellStyle name="60% - Accent6 2" xfId="43" xr:uid="{00000000-0005-0000-0000-00002B000000}"/>
    <cellStyle name="Accent1 2" xfId="44" xr:uid="{00000000-0005-0000-0000-00002C000000}"/>
    <cellStyle name="Accent2 2" xfId="45" xr:uid="{00000000-0005-0000-0000-00002D000000}"/>
    <cellStyle name="Accent3 2" xfId="46" xr:uid="{00000000-0005-0000-0000-00002E000000}"/>
    <cellStyle name="Accent4 2" xfId="47" xr:uid="{00000000-0005-0000-0000-00002F000000}"/>
    <cellStyle name="Accent5 2" xfId="48" xr:uid="{00000000-0005-0000-0000-000030000000}"/>
    <cellStyle name="Accent6 2" xfId="49" xr:uid="{00000000-0005-0000-0000-000031000000}"/>
    <cellStyle name="AFE" xfId="50" xr:uid="{00000000-0005-0000-0000-000032000000}"/>
    <cellStyle name="AFE 2" xfId="133" xr:uid="{00000000-0005-0000-0000-000085000000}"/>
    <cellStyle name="Bad 2" xfId="51" xr:uid="{00000000-0005-0000-0000-000033000000}"/>
    <cellStyle name="Calculation 2" xfId="52" xr:uid="{00000000-0005-0000-0000-000034000000}"/>
    <cellStyle name="Check Cell 2" xfId="53" xr:uid="{00000000-0005-0000-0000-000035000000}"/>
    <cellStyle name="Comma" xfId="3" builtinId="3"/>
    <cellStyle name="Comma 2" xfId="154" xr:uid="{00000000-0005-0000-0000-00009A000000}"/>
    <cellStyle name="Detail" xfId="54" xr:uid="{00000000-0005-0000-0000-000036000000}"/>
    <cellStyle name="Euro" xfId="55" xr:uid="{00000000-0005-0000-0000-000037000000}"/>
    <cellStyle name="Explanatory Text 2" xfId="56" xr:uid="{00000000-0005-0000-0000-000038000000}"/>
    <cellStyle name="EY Narrative text" xfId="148" xr:uid="{00000000-0005-0000-0000-000094000000}"/>
    <cellStyle name="EY0dp" xfId="146" xr:uid="{00000000-0005-0000-0000-000092000000}"/>
    <cellStyle name="EY1dp" xfId="147" xr:uid="{00000000-0005-0000-0000-000093000000}"/>
    <cellStyle name="EYChartTitle" xfId="141" xr:uid="{00000000-0005-0000-0000-00008D000000}"/>
    <cellStyle name="EYColumnHeading" xfId="144" xr:uid="{00000000-0005-0000-0000-000090000000}"/>
    <cellStyle name="EYCurrency" xfId="143" xr:uid="{00000000-0005-0000-0000-00008F000000}"/>
    <cellStyle name="EYnumber" xfId="142" xr:uid="{00000000-0005-0000-0000-00008E000000}"/>
    <cellStyle name="EYSectionHeading" xfId="138" xr:uid="{00000000-0005-0000-0000-00008A000000}"/>
    <cellStyle name="EYSheetHeading" xfId="140" xr:uid="{00000000-0005-0000-0000-00008C000000}"/>
    <cellStyle name="EYsmallheading" xfId="139" xr:uid="{00000000-0005-0000-0000-00008B000000}"/>
    <cellStyle name="EYSource" xfId="149" xr:uid="{00000000-0005-0000-0000-000095000000}"/>
    <cellStyle name="EYtext" xfId="145" xr:uid="{00000000-0005-0000-0000-000091000000}"/>
    <cellStyle name="Good 2" xfId="57" xr:uid="{00000000-0005-0000-0000-000039000000}"/>
    <cellStyle name="Grey" xfId="58" xr:uid="{00000000-0005-0000-0000-00003A000000}"/>
    <cellStyle name="Heading 1 2" xfId="59" xr:uid="{00000000-0005-0000-0000-00003B000000}"/>
    <cellStyle name="Heading 2 2" xfId="60" xr:uid="{00000000-0005-0000-0000-00003C000000}"/>
    <cellStyle name="Heading 3 2" xfId="61" xr:uid="{00000000-0005-0000-0000-00003D000000}"/>
    <cellStyle name="Heading 4 2" xfId="62" xr:uid="{00000000-0005-0000-0000-00003E000000}"/>
    <cellStyle name="Hyperlink" xfId="165" builtinId="8"/>
    <cellStyle name="Input [yellow]" xfId="64" xr:uid="{00000000-0005-0000-0000-000040000000}"/>
    <cellStyle name="Input 2" xfId="63" xr:uid="{00000000-0005-0000-0000-00003F000000}"/>
    <cellStyle name="Linked Cell 2" xfId="65" xr:uid="{00000000-0005-0000-0000-000041000000}"/>
    <cellStyle name="meny_33-34" xfId="66" xr:uid="{00000000-0005-0000-0000-000042000000}"/>
    <cellStyle name="Milliers [0]_foxz" xfId="67" xr:uid="{00000000-0005-0000-0000-000043000000}"/>
    <cellStyle name="Milliers_foxz" xfId="68" xr:uid="{00000000-0005-0000-0000-000044000000}"/>
    <cellStyle name="Monétaire [0]_foxz" xfId="69" xr:uid="{00000000-0005-0000-0000-000045000000}"/>
    <cellStyle name="Monétaire_foxz" xfId="70" xr:uid="{00000000-0005-0000-0000-000046000000}"/>
    <cellStyle name="Neutral 2" xfId="71" xr:uid="{00000000-0005-0000-0000-000047000000}"/>
    <cellStyle name="Normal" xfId="0" builtinId="0"/>
    <cellStyle name="Normal - Style1" xfId="72" xr:uid="{00000000-0005-0000-0000-000048000000}"/>
    <cellStyle name="Normal 2" xfId="150" xr:uid="{00000000-0005-0000-0000-000096000000}"/>
    <cellStyle name="Normal 2 2" xfId="152" xr:uid="{00000000-0005-0000-0000-000098000000}"/>
    <cellStyle name="Normal 3" xfId="151" xr:uid="{00000000-0005-0000-0000-000097000000}"/>
    <cellStyle name="Normal 4" xfId="153" xr:uid="{00000000-0005-0000-0000-000099000000}"/>
    <cellStyle name="Normal 5" xfId="4" xr:uid="{00000000-0005-0000-0000-000004000000}"/>
    <cellStyle name="normální_33-34" xfId="73" xr:uid="{00000000-0005-0000-0000-000049000000}"/>
    <cellStyle name="Note 2" xfId="74" xr:uid="{00000000-0005-0000-0000-00004A000000}"/>
    <cellStyle name="Œ…‹æØ‚è [0.00]_laroux" xfId="75" xr:uid="{00000000-0005-0000-0000-00004B000000}"/>
    <cellStyle name="Œ…‹æØ‚è_laroux" xfId="76" xr:uid="{00000000-0005-0000-0000-00004C000000}"/>
    <cellStyle name="Output 2" xfId="77" xr:uid="{00000000-0005-0000-0000-00004D000000}"/>
    <cellStyle name="Per cent" xfId="2" builtinId="5"/>
    <cellStyle name="Percent [2]" xfId="79" xr:uid="{00000000-0005-0000-0000-00004F000000}"/>
    <cellStyle name="Percent 2" xfId="155" xr:uid="{00000000-0005-0000-0000-00009B000000}"/>
    <cellStyle name="Percent 3" xfId="78" xr:uid="{00000000-0005-0000-0000-00004E000000}"/>
    <cellStyle name="Percent 5" xfId="80" xr:uid="{00000000-0005-0000-0000-000050000000}"/>
    <cellStyle name="Prozent 2" xfId="134" xr:uid="{00000000-0005-0000-0000-000086000000}"/>
    <cellStyle name="PSChar" xfId="81" xr:uid="{00000000-0005-0000-0000-000051000000}"/>
    <cellStyle name="PSDate" xfId="82" xr:uid="{00000000-0005-0000-0000-000052000000}"/>
    <cellStyle name="PSDec" xfId="83" xr:uid="{00000000-0005-0000-0000-000053000000}"/>
    <cellStyle name="PSHeading" xfId="84" xr:uid="{00000000-0005-0000-0000-000054000000}"/>
    <cellStyle name="PSInt" xfId="85" xr:uid="{00000000-0005-0000-0000-000055000000}"/>
    <cellStyle name="PSSpacer" xfId="86" xr:uid="{00000000-0005-0000-0000-000056000000}"/>
    <cellStyle name="Revenue" xfId="87" xr:uid="{00000000-0005-0000-0000-000057000000}"/>
    <cellStyle name="SAPBEXaggData" xfId="88" xr:uid="{00000000-0005-0000-0000-000058000000}"/>
    <cellStyle name="SAPBEXaggDataEmph" xfId="89" xr:uid="{00000000-0005-0000-0000-000059000000}"/>
    <cellStyle name="SAPBEXaggItem" xfId="90" xr:uid="{00000000-0005-0000-0000-00005A000000}"/>
    <cellStyle name="SAPBEXaggItemX" xfId="91" xr:uid="{00000000-0005-0000-0000-00005B000000}"/>
    <cellStyle name="SAPBEXchaText" xfId="92" xr:uid="{00000000-0005-0000-0000-00005C000000}"/>
    <cellStyle name="SAPBEXexcBad7" xfId="93" xr:uid="{00000000-0005-0000-0000-00005D000000}"/>
    <cellStyle name="SAPBEXexcBad8" xfId="94" xr:uid="{00000000-0005-0000-0000-00005E000000}"/>
    <cellStyle name="SAPBEXexcBad9" xfId="95" xr:uid="{00000000-0005-0000-0000-00005F000000}"/>
    <cellStyle name="SAPBEXexcCritical4" xfId="96" xr:uid="{00000000-0005-0000-0000-000060000000}"/>
    <cellStyle name="SAPBEXexcCritical5" xfId="97" xr:uid="{00000000-0005-0000-0000-000061000000}"/>
    <cellStyle name="SAPBEXexcCritical6" xfId="98" xr:uid="{00000000-0005-0000-0000-000062000000}"/>
    <cellStyle name="SAPBEXexcGood1" xfId="99" xr:uid="{00000000-0005-0000-0000-000063000000}"/>
    <cellStyle name="SAPBEXexcGood2" xfId="100" xr:uid="{00000000-0005-0000-0000-000064000000}"/>
    <cellStyle name="SAPBEXexcGood3" xfId="101" xr:uid="{00000000-0005-0000-0000-000065000000}"/>
    <cellStyle name="SAPBEXfilterDrill" xfId="102" xr:uid="{00000000-0005-0000-0000-000066000000}"/>
    <cellStyle name="SAPBEXfilterItem" xfId="103" xr:uid="{00000000-0005-0000-0000-000067000000}"/>
    <cellStyle name="SAPBEXfilterText" xfId="104" xr:uid="{00000000-0005-0000-0000-000068000000}"/>
    <cellStyle name="SAPBEXformats" xfId="105" xr:uid="{00000000-0005-0000-0000-000069000000}"/>
    <cellStyle name="SAPBEXheaderItem" xfId="106" xr:uid="{00000000-0005-0000-0000-00006A000000}"/>
    <cellStyle name="SAPBEXheaderText" xfId="107" xr:uid="{00000000-0005-0000-0000-00006B000000}"/>
    <cellStyle name="SAPBEXHLevel0" xfId="108" xr:uid="{00000000-0005-0000-0000-00006C000000}"/>
    <cellStyle name="SAPBEXHLevel0X" xfId="109" xr:uid="{00000000-0005-0000-0000-00006D000000}"/>
    <cellStyle name="SAPBEXHLevel1" xfId="110" xr:uid="{00000000-0005-0000-0000-00006E000000}"/>
    <cellStyle name="SAPBEXHLevel1X" xfId="111" xr:uid="{00000000-0005-0000-0000-00006F000000}"/>
    <cellStyle name="SAPBEXHLevel2" xfId="112" xr:uid="{00000000-0005-0000-0000-000070000000}"/>
    <cellStyle name="SAPBEXHLevel2X" xfId="113" xr:uid="{00000000-0005-0000-0000-000071000000}"/>
    <cellStyle name="SAPBEXHLevel3" xfId="114" xr:uid="{00000000-0005-0000-0000-000072000000}"/>
    <cellStyle name="SAPBEXHLevel3X" xfId="115" xr:uid="{00000000-0005-0000-0000-000073000000}"/>
    <cellStyle name="SAPBEXresData" xfId="116" xr:uid="{00000000-0005-0000-0000-000074000000}"/>
    <cellStyle name="SAPBEXresDataEmph" xfId="117" xr:uid="{00000000-0005-0000-0000-000075000000}"/>
    <cellStyle name="SAPBEXresItem" xfId="118" xr:uid="{00000000-0005-0000-0000-000076000000}"/>
    <cellStyle name="SAPBEXresItemX" xfId="119" xr:uid="{00000000-0005-0000-0000-000077000000}"/>
    <cellStyle name="SAPBEXstdData" xfId="120" xr:uid="{00000000-0005-0000-0000-000078000000}"/>
    <cellStyle name="SAPBEXstdDataEmph" xfId="121" xr:uid="{00000000-0005-0000-0000-000079000000}"/>
    <cellStyle name="SAPBEXstdItem" xfId="122" xr:uid="{00000000-0005-0000-0000-00007A000000}"/>
    <cellStyle name="SAPBEXstdItemX" xfId="123" xr:uid="{00000000-0005-0000-0000-00007B000000}"/>
    <cellStyle name="SAPBEXtitle" xfId="124" xr:uid="{00000000-0005-0000-0000-00007C000000}"/>
    <cellStyle name="SAPBEXundefined" xfId="125" xr:uid="{00000000-0005-0000-0000-00007D000000}"/>
    <cellStyle name="Smart Subtitle 1" xfId="1" xr:uid="{00000000-0005-0000-0000-000001000000}"/>
    <cellStyle name="Standard 2" xfId="132" xr:uid="{00000000-0005-0000-0000-000084000000}"/>
    <cellStyle name="Standard 3" xfId="136" xr:uid="{00000000-0005-0000-0000-000088000000}"/>
    <cellStyle name="Standard 4" xfId="156" xr:uid="{00000000-0005-0000-0000-00009C000000}"/>
    <cellStyle name="Stil 1" xfId="131" xr:uid="{00000000-0005-0000-0000-000083000000}"/>
    <cellStyle name="Style 1" xfId="126" xr:uid="{00000000-0005-0000-0000-00007E000000}"/>
    <cellStyle name="Tahoma:10:1" xfId="160" xr:uid="{00000000-0005-0000-0000-0000A0000000}"/>
    <cellStyle name="Tahoma:10:129" xfId="161" xr:uid="{00000000-0005-0000-0000-0000A1000000}"/>
    <cellStyle name="Tahoma:12:1" xfId="157" xr:uid="{00000000-0005-0000-0000-00009D000000}"/>
    <cellStyle name="Tahoma:12:129" xfId="162" xr:uid="{00000000-0005-0000-0000-0000A2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3000000}"/>
    <cellStyle name="Tahoma:8:129" xfId="164" xr:uid="{00000000-0005-0000-0000-0000A4000000}"/>
    <cellStyle name="Title 2" xfId="127" xr:uid="{00000000-0005-0000-0000-00007F000000}"/>
    <cellStyle name="Total 2" xfId="128" xr:uid="{00000000-0005-0000-0000-000080000000}"/>
    <cellStyle name="Total Row" xfId="129" xr:uid="{00000000-0005-0000-0000-000081000000}"/>
    <cellStyle name="TTS" xfId="137" xr:uid="{00000000-0005-0000-0000-000089000000}"/>
    <cellStyle name="Warning Text 2" xfId="130" xr:uid="{00000000-0005-0000-0000-00008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ED5-B64D-A3BB-15E8CBF92FE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ED5-B64D-A3BB-15E8CBF92FE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ED5-B64D-A3BB-15E8CBF92FE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ED5-B64D-A3BB-15E8CBF92FE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ED5-B64D-A3BB-15E8CBF92FE2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24925.68</c:v>
                </c:pt>
                <c:pt idx="1">
                  <c:v>26749.83</c:v>
                </c:pt>
                <c:pt idx="2">
                  <c:v>35504.93</c:v>
                </c:pt>
                <c:pt idx="4">
                  <c:v>39765.521600000007</c:v>
                </c:pt>
                <c:pt idx="5">
                  <c:v>44537.384192000012</c:v>
                </c:pt>
                <c:pt idx="6">
                  <c:v>49881.870295040018</c:v>
                </c:pt>
                <c:pt idx="7">
                  <c:v>55867.694730444826</c:v>
                </c:pt>
                <c:pt idx="8">
                  <c:v>62571.818098098214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D5-B64D-A3BB-15E8CBF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0.37412700475974975</c:v>
                </c:pt>
                <c:pt idx="1">
                  <c:v>0.53849127265481689</c:v>
                </c:pt>
                <c:pt idx="2">
                  <c:v>0.49466567037310027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ED5-B64D-A3BB-15E8CBF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8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AED in millions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in val="0.3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  <a:ln>
              <a:prstDash val="solid"/>
            </a:ln>
          </c:spPr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726.78680388714201</c:v>
                </c:pt>
                <c:pt idx="1">
                  <c:v>16674.500943538456</c:v>
                </c:pt>
                <c:pt idx="2">
                  <c:v>18675.441056763062</c:v>
                </c:pt>
                <c:pt idx="3">
                  <c:v>20916.493983574648</c:v>
                </c:pt>
                <c:pt idx="4">
                  <c:v>23426.473261603591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0-1445-B0F0-B543F9D4E4B1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prstDash val="solid"/>
            </a:ln>
          </c:spPr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669.84958883607555</c:v>
                </c:pt>
                <c:pt idx="1">
                  <c:v>14164.242981195997</c:v>
                </c:pt>
                <c:pt idx="2">
                  <c:v>14621.154045105537</c:v>
                </c:pt>
                <c:pt idx="3">
                  <c:v>15092.804175592828</c:v>
                </c:pt>
                <c:pt idx="4">
                  <c:v>15579.668826418392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0-1445-B0F0-B543F9D4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_(* #,##0_);_(* \(#,##0\);_(* &quot;-&quot;?_);@_)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3F4-214F-881D-A61BC5B80393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3F4-214F-881D-A61BC5B80393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3F4-214F-881D-A61BC5B80393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3F4-214F-881D-A61BC5B8039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F4-214F-881D-A61BC5B80393}"/>
                </c:ext>
              </c:extLst>
            </c:dLbl>
            <c:numFmt formatCode="#,##0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FY24</c:v>
                </c:pt>
                <c:pt idx="1">
                  <c:v>Delta Revenues</c:v>
                </c:pt>
                <c:pt idx="2">
                  <c:v>Delta Cost of Revenue</c:v>
                </c:pt>
                <c:pt idx="3">
                  <c:v>Delta Opex</c:v>
                </c:pt>
                <c:pt idx="4">
                  <c:v>EBITDA FY25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17563.07</c:v>
                </c:pt>
                <c:pt idx="1">
                  <c:v>17563.07</c:v>
                </c:pt>
                <c:pt idx="2">
                  <c:v>19848.847312000005</c:v>
                </c:pt>
                <c:pt idx="3">
                  <c:v>19848.847312000005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F4-214F-881D-A61BC5B80393}"/>
            </c:ext>
          </c:extLst>
        </c:ser>
        <c:ser>
          <c:idx val="1"/>
          <c:order val="1"/>
          <c:spPr>
            <a:ln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3F4-214F-881D-A61BC5B8039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3F4-214F-881D-A61BC5B8039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F3F4-214F-881D-A61BC5B80393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F3F4-214F-881D-A61BC5B80393}"/>
              </c:ext>
            </c:extLst>
          </c:dPt>
          <c:dLbls>
            <c:numFmt formatCode="#,##0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FY24</c:v>
                </c:pt>
                <c:pt idx="1">
                  <c:v>Delta Revenues</c:v>
                </c:pt>
                <c:pt idx="2">
                  <c:v>Delta Cost of Revenue</c:v>
                </c:pt>
                <c:pt idx="3">
                  <c:v>Delta Opex</c:v>
                </c:pt>
                <c:pt idx="4">
                  <c:v>EBITDA FY25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4260.591600000007</c:v>
                </c:pt>
                <c:pt idx="2">
                  <c:v>1974.8142880000032</c:v>
                </c:pt>
                <c:pt idx="3">
                  <c:v>33.913487999999234</c:v>
                </c:pt>
                <c:pt idx="4">
                  <c:v>19882.760800000004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F4-214F-881D-A61BC5B8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  <a:prstDash val="solid"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alpha val="24000"/>
                  <a:lumMod val="65000"/>
                </a:schemeClr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  <a:prstDash val="solid"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FY22-FY29: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9E-2"/>
          <c:y val="2.3937766331211231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prstDash val="solid"/>
            </a:ln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3336.4699999999975</c:v>
                </c:pt>
                <c:pt idx="1">
                  <c:v>-1144.3400000000001</c:v>
                </c:pt>
                <c:pt idx="2">
                  <c:v>-10580.71</c:v>
                </c:pt>
                <c:pt idx="4">
                  <c:v>-2604.5363783579778</c:v>
                </c:pt>
                <c:pt idx="5">
                  <c:v>-2986.0039437609375</c:v>
                </c:pt>
                <c:pt idx="6">
                  <c:v>-3413.2476170122463</c:v>
                </c:pt>
                <c:pt idx="7">
                  <c:v>-3891.7605310537183</c:v>
                </c:pt>
                <c:pt idx="8">
                  <c:v>-4427.6949947801622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2-AD43-8995-7832DDDB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barChart>
        <c:barDir val="col"/>
        <c:grouping val="clustered"/>
        <c:varyColors val="0"/>
        <c:ser>
          <c:idx val="4"/>
          <c:order val="1"/>
          <c:tx>
            <c:strRef>
              <c:f>'Working capital'!$B$9</c:f>
              <c:strCache>
                <c:ptCount val="1"/>
                <c:pt idx="0">
                  <c:v>DSO (Days receivable) </c:v>
                </c:pt>
              </c:strCache>
            </c:strRef>
          </c:tx>
          <c:spPr>
            <a:solidFill>
              <a:srgbClr val="002060"/>
            </a:solidFill>
            <a:ln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4.4568023886287179E-17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1-DB42-9690-244F5E698E97}"/>
                </c:ext>
              </c:extLst>
            </c:dLbl>
            <c:dLbl>
              <c:idx val="4"/>
              <c:layout>
                <c:manualLayout>
                  <c:x val="0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1-DB42-9690-244F5E698E97}"/>
                </c:ext>
              </c:extLst>
            </c:dLbl>
            <c:dLbl>
              <c:idx val="5"/>
              <c:layout>
                <c:manualLayout>
                  <c:x val="0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1-DB42-9690-244F5E698E97}"/>
                </c:ext>
              </c:extLst>
            </c:dLbl>
            <c:dLbl>
              <c:idx val="6"/>
              <c:layout>
                <c:manualLayout>
                  <c:x val="0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1-DB42-9690-244F5E698E97}"/>
                </c:ext>
              </c:extLst>
            </c:dLbl>
            <c:dLbl>
              <c:idx val="7"/>
              <c:layout>
                <c:manualLayout>
                  <c:x val="-1.7827209554514872E-16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1-DB42-9690-244F5E698E97}"/>
                </c:ext>
              </c:extLst>
            </c:dLbl>
            <c:dLbl>
              <c:idx val="8"/>
              <c:layout>
                <c:manualLayout>
                  <c:x val="0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1-DB42-9690-244F5E698E97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31Dec22
Actual </c:v>
                </c:pt>
                <c:pt idx="1">
                  <c:v>31Dec23
Actual </c:v>
                </c:pt>
                <c:pt idx="2">
                  <c:v>31Dec24
Actual </c:v>
                </c:pt>
                <c:pt idx="4">
                  <c:v>31Dec25
Forecast </c:v>
                </c:pt>
                <c:pt idx="5">
                  <c:v>31Dec26
Forecast </c:v>
                </c:pt>
                <c:pt idx="6">
                  <c:v>31Dec27
Forecast </c:v>
                </c:pt>
                <c:pt idx="7">
                  <c:v>31Dec28
Forecast </c:v>
                </c:pt>
                <c:pt idx="8">
                  <c:v>31Dec29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320.89820618735376</c:v>
                </c:pt>
                <c:pt idx="1">
                  <c:v>232.21924027180731</c:v>
                </c:pt>
                <c:pt idx="2">
                  <c:v>157.0018811472097</c:v>
                </c:pt>
                <c:pt idx="4">
                  <c:v>157.0018811472097</c:v>
                </c:pt>
                <c:pt idx="5">
                  <c:v>157.0018811472097</c:v>
                </c:pt>
                <c:pt idx="6">
                  <c:v>157.0018811472097</c:v>
                </c:pt>
                <c:pt idx="7">
                  <c:v>157.0018811472097</c:v>
                </c:pt>
                <c:pt idx="8">
                  <c:v>157.0018811472097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2-AD43-8995-7832DDDB5C81}"/>
            </c:ext>
          </c:extLst>
        </c:ser>
        <c:ser>
          <c:idx val="6"/>
          <c:order val="2"/>
          <c:tx>
            <c:strRef>
              <c:f>'Working capital'!$B$10</c:f>
              <c:strCache>
                <c:ptCount val="1"/>
                <c:pt idx="0">
                  <c:v>DPO (Days payable)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31Dec22
Actual </c:v>
                </c:pt>
                <c:pt idx="1">
                  <c:v>31Dec23
Actual </c:v>
                </c:pt>
                <c:pt idx="2">
                  <c:v>31Dec24
Actual </c:v>
                </c:pt>
                <c:pt idx="4">
                  <c:v>31Dec25
Forecast </c:v>
                </c:pt>
                <c:pt idx="5">
                  <c:v>31Dec26
Forecast </c:v>
                </c:pt>
                <c:pt idx="6">
                  <c:v>31Dec27
Forecast </c:v>
                </c:pt>
                <c:pt idx="7">
                  <c:v>31Dec28
Forecast </c:v>
                </c:pt>
                <c:pt idx="8">
                  <c:v>31Dec29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283.94465466940113</c:v>
                </c:pt>
                <c:pt idx="1">
                  <c:v>198.33730532119267</c:v>
                </c:pt>
                <c:pt idx="2">
                  <c:v>178.15832336523408</c:v>
                </c:pt>
                <c:pt idx="3">
                  <c:v>0</c:v>
                </c:pt>
                <c:pt idx="4">
                  <c:v>178.15832336523408</c:v>
                </c:pt>
                <c:pt idx="5">
                  <c:v>178.15832336523408</c:v>
                </c:pt>
                <c:pt idx="6">
                  <c:v>178.15832336523408</c:v>
                </c:pt>
                <c:pt idx="7">
                  <c:v>178.15832336523408</c:v>
                </c:pt>
                <c:pt idx="8">
                  <c:v>178.15832336523408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32-AD43-8995-7832DDDB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"/>
        <c:scaling>
          <c:orientation val="minMax"/>
        </c:scaling>
        <c:delete val="0"/>
        <c:axPos val="b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10"/>
        <c:crosses val="autoZero"/>
        <c:crossBetween val="between"/>
      </c:valAx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alpha val="34000"/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1D4-084D-898D-DB3048252DD8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results'!$C$6:$C$7</c:f>
              <c:numCache>
                <c:formatCode>0%</c:formatCode>
                <c:ptCount val="2"/>
                <c:pt idx="0">
                  <c:v>0.21021258714421309</c:v>
                </c:pt>
                <c:pt idx="1">
                  <c:v>0.7897874128557868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D4-084D-898D-DB3048252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38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454-674C-BBE8-84E5DF819961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0%</c:formatCode>
                <c:ptCount val="2"/>
                <c:pt idx="0">
                  <c:v>0.19568536778861387</c:v>
                </c:pt>
                <c:pt idx="1">
                  <c:v>0.8043146322113861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4-674C-BBE8-84E5DF819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05-E848-BE1D-6D2D419FA7A4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results'!$N$6:$N$7</c:f>
              <c:numCache>
                <c:formatCode>0%</c:formatCode>
                <c:ptCount val="2"/>
                <c:pt idx="0">
                  <c:v>0.18696001471109336</c:v>
                </c:pt>
                <c:pt idx="1">
                  <c:v>0.81303998528890664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05-E848-BE1D-6D2D419FA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C06C330-D1CC-734C-9B1C-6EC8C77D0609}"/>
            </a:ext>
          </a:extLst>
        </xdr:cNvPr>
        <xdr:cNvSpPr txBox="1"/>
      </xdr:nvSpPr>
      <xdr:spPr>
        <a:xfrm>
          <a:off x="5148384" y="2981570"/>
          <a:ext cx="2681654" cy="169984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D3C7AF0-E572-B344-9C75-959335FA885B}"/>
            </a:ext>
          </a:extLst>
        </xdr:cNvPr>
        <xdr:cNvSpPr txBox="1"/>
      </xdr:nvSpPr>
      <xdr:spPr>
        <a:xfrm>
          <a:off x="4562230" y="3333262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108857</xdr:rowOff>
    </xdr:from>
    <xdr:to>
      <xdr:col>13</xdr:col>
      <xdr:colOff>598714</xdr:colOff>
      <xdr:row>30</xdr:row>
      <xdr:rowOff>18142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A7E53-1DA2-E84D-9838-1568317BF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11</xdr:row>
      <xdr:rowOff>66674</xdr:rowOff>
    </xdr:from>
    <xdr:to>
      <xdr:col>12</xdr:col>
      <xdr:colOff>390525</xdr:colOff>
      <xdr:row>40</xdr:row>
      <xdr:rowOff>10159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952500</xdr:colOff>
      <xdr:row>15</xdr:row>
      <xdr:rowOff>38100</xdr:rowOff>
    </xdr:from>
    <xdr:to>
      <xdr:col>2</xdr:col>
      <xdr:colOff>406943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FA480A6-4D10-9584-D679-248A9B94C3D8}"/>
            </a:ext>
          </a:extLst>
        </xdr:cNvPr>
        <xdr:cNvSpPr txBox="1"/>
      </xdr:nvSpPr>
      <xdr:spPr>
        <a:xfrm>
          <a:off x="1104900" y="23622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286.033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1079500</xdr:colOff>
      <xdr:row>15</xdr:row>
      <xdr:rowOff>38100</xdr:rowOff>
    </xdr:from>
    <xdr:to>
      <xdr:col>7</xdr:col>
      <xdr:colOff>533943</xdr:colOff>
      <xdr:row>17</xdr:row>
      <xdr:rowOff>101600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49B064C-5C7C-CF4E-8784-8EBAB119C25C}"/>
            </a:ext>
          </a:extLst>
        </xdr:cNvPr>
        <xdr:cNvSpPr txBox="1"/>
      </xdr:nvSpPr>
      <xdr:spPr>
        <a:xfrm>
          <a:off x="5486400" y="23622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222.431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12</xdr:col>
      <xdr:colOff>1117600</xdr:colOff>
      <xdr:row>15</xdr:row>
      <xdr:rowOff>25400</xdr:rowOff>
    </xdr:from>
    <xdr:to>
      <xdr:col>13</xdr:col>
      <xdr:colOff>572043</xdr:colOff>
      <xdr:row>17</xdr:row>
      <xdr:rowOff>88900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8922CF-FFA7-1B42-A223-B33C6074D33A}"/>
            </a:ext>
          </a:extLst>
        </xdr:cNvPr>
        <xdr:cNvSpPr txBox="1"/>
      </xdr:nvSpPr>
      <xdr:spPr>
        <a:xfrm>
          <a:off x="10477500" y="23495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187.268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EMAAR.AE/financial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4" width="9.1640625" style="1" customWidth="1"/>
    <col min="5" max="16384" width="9.1640625" style="1"/>
  </cols>
  <sheetData>
    <row r="1" spans="2:3" ht="15.5" customHeight="1">
      <c r="B1" s="2" t="s">
        <v>0</v>
      </c>
    </row>
    <row r="2" spans="2:3" ht="12" customHeight="1">
      <c r="B2" s="5" t="s">
        <v>1</v>
      </c>
    </row>
    <row r="4" spans="2:3" ht="12.5" customHeight="1" thickBot="1">
      <c r="B4" s="4" t="s">
        <v>2</v>
      </c>
      <c r="C4" s="4" t="s">
        <v>3</v>
      </c>
    </row>
    <row r="5" spans="2:3" ht="12" customHeight="1">
      <c r="B5" s="40">
        <v>1</v>
      </c>
      <c r="C5" s="41" t="s">
        <v>4</v>
      </c>
    </row>
    <row r="6" spans="2:3">
      <c r="B6" s="28">
        <f t="shared" ref="B6:B21" si="0">B5+1</f>
        <v>2</v>
      </c>
      <c r="C6" s="46" t="s">
        <v>5</v>
      </c>
    </row>
    <row r="7" spans="2:3">
      <c r="B7" s="28">
        <f t="shared" si="0"/>
        <v>3</v>
      </c>
      <c r="C7" s="46" t="s">
        <v>6</v>
      </c>
    </row>
    <row r="8" spans="2:3" ht="12" customHeight="1">
      <c r="B8" s="40">
        <f t="shared" si="0"/>
        <v>4</v>
      </c>
      <c r="C8" s="41" t="s">
        <v>7</v>
      </c>
    </row>
    <row r="9" spans="2:3">
      <c r="B9" s="28">
        <f t="shared" si="0"/>
        <v>5</v>
      </c>
      <c r="C9" s="46" t="s">
        <v>8</v>
      </c>
    </row>
    <row r="10" spans="2:3">
      <c r="B10" s="28">
        <f t="shared" si="0"/>
        <v>6</v>
      </c>
      <c r="C10" s="46" t="s">
        <v>9</v>
      </c>
    </row>
    <row r="11" spans="2:3">
      <c r="B11" s="28">
        <f t="shared" si="0"/>
        <v>7</v>
      </c>
      <c r="C11" s="46" t="s">
        <v>10</v>
      </c>
    </row>
    <row r="12" spans="2:3">
      <c r="B12" s="28">
        <f t="shared" si="0"/>
        <v>8</v>
      </c>
      <c r="C12" s="46" t="s">
        <v>11</v>
      </c>
    </row>
    <row r="13" spans="2:3" ht="12" customHeight="1">
      <c r="B13" s="40">
        <f t="shared" si="0"/>
        <v>9</v>
      </c>
      <c r="C13" s="41" t="s">
        <v>12</v>
      </c>
    </row>
    <row r="14" spans="2:3">
      <c r="B14" s="28">
        <f t="shared" si="0"/>
        <v>10</v>
      </c>
      <c r="C14" s="46" t="s">
        <v>13</v>
      </c>
    </row>
    <row r="15" spans="2:3">
      <c r="B15" s="28">
        <f t="shared" si="0"/>
        <v>11</v>
      </c>
      <c r="C15" s="46" t="s">
        <v>14</v>
      </c>
    </row>
    <row r="16" spans="2:3">
      <c r="B16" s="28">
        <f t="shared" si="0"/>
        <v>12</v>
      </c>
      <c r="C16" s="46" t="s">
        <v>15</v>
      </c>
    </row>
    <row r="17" spans="2:3">
      <c r="B17" s="28">
        <f t="shared" si="0"/>
        <v>13</v>
      </c>
      <c r="C17" s="46" t="s">
        <v>16</v>
      </c>
    </row>
    <row r="18" spans="2:3">
      <c r="B18" s="28">
        <f t="shared" si="0"/>
        <v>14</v>
      </c>
      <c r="C18" s="46" t="s">
        <v>17</v>
      </c>
    </row>
    <row r="19" spans="2:3" ht="12" customHeight="1">
      <c r="B19" s="40">
        <f t="shared" si="0"/>
        <v>15</v>
      </c>
      <c r="C19" s="41" t="s">
        <v>18</v>
      </c>
    </row>
    <row r="20" spans="2:3">
      <c r="B20" s="28">
        <f t="shared" si="0"/>
        <v>16</v>
      </c>
      <c r="C20" s="46" t="s">
        <v>19</v>
      </c>
    </row>
    <row r="21" spans="2:3">
      <c r="B21" s="28">
        <f t="shared" si="0"/>
        <v>17</v>
      </c>
      <c r="C21" s="46" t="s">
        <v>20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>
      <selection activeCell="B12" sqref="B12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4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56"/>
  <sheetViews>
    <sheetView zoomScale="114" zoomScaleNormal="161" workbookViewId="0">
      <pane ySplit="8" topLeftCell="A9" activePane="bottomLeft" state="frozen"/>
      <selection pane="bottomLeft" activeCell="C6" sqref="C6"/>
    </sheetView>
  </sheetViews>
  <sheetFormatPr baseColWidth="10" defaultColWidth="9.1640625" defaultRowHeight="12"/>
  <cols>
    <col min="1" max="1" width="2" style="7" customWidth="1"/>
    <col min="2" max="2" width="44" style="7" bestFit="1" customWidth="1"/>
    <col min="3" max="3" width="10.5" style="7" bestFit="1" customWidth="1"/>
    <col min="4" max="5" width="9.1640625" style="7" customWidth="1"/>
    <col min="6" max="6" width="2" style="7" customWidth="1"/>
    <col min="7" max="7" width="11" style="7" bestFit="1" customWidth="1"/>
    <col min="8" max="11" width="10.5" style="7" bestFit="1" customWidth="1"/>
    <col min="12" max="12" width="9.1640625" style="7" customWidth="1"/>
    <col min="13" max="13" width="27.6640625" style="7" bestFit="1" customWidth="1"/>
    <col min="14" max="14" width="9.1640625" style="7" customWidth="1"/>
    <col min="15" max="16" width="9.1640625" style="7"/>
    <col min="17" max="17" width="13.6640625" style="7" customWidth="1"/>
    <col min="18" max="16384" width="9.1640625" style="7"/>
  </cols>
  <sheetData>
    <row r="1" spans="1:17" ht="15.5" customHeight="1">
      <c r="A1" s="1"/>
      <c r="B1" s="6" t="s">
        <v>5</v>
      </c>
    </row>
    <row r="2" spans="1:17">
      <c r="B2" s="7" t="s">
        <v>153</v>
      </c>
      <c r="G2" s="7" t="s">
        <v>21</v>
      </c>
    </row>
    <row r="3" spans="1:17">
      <c r="G3" s="7" t="s">
        <v>22</v>
      </c>
      <c r="H3" s="7" t="s">
        <v>23</v>
      </c>
    </row>
    <row r="4" spans="1:17">
      <c r="G4" s="7" t="s">
        <v>24</v>
      </c>
      <c r="H4" s="7" t="s">
        <v>25</v>
      </c>
    </row>
    <row r="5" spans="1:17" ht="12" customHeight="1">
      <c r="B5" s="7" t="s">
        <v>26</v>
      </c>
      <c r="C5" s="41">
        <v>1</v>
      </c>
      <c r="G5" s="7" t="s">
        <v>27</v>
      </c>
      <c r="H5" s="7" t="s">
        <v>28</v>
      </c>
    </row>
    <row r="7" spans="1:17" ht="3.75" customHeight="1"/>
    <row r="8" spans="1:17" ht="24.5" customHeight="1" thickBot="1">
      <c r="B8" s="17" t="s">
        <v>154</v>
      </c>
      <c r="C8" s="18" t="s">
        <v>111</v>
      </c>
      <c r="D8" s="18" t="s">
        <v>110</v>
      </c>
      <c r="E8" s="18" t="s">
        <v>109</v>
      </c>
      <c r="F8" s="21"/>
      <c r="G8" s="19" t="s">
        <v>112</v>
      </c>
      <c r="H8" s="19" t="s">
        <v>113</v>
      </c>
      <c r="I8" s="19" t="s">
        <v>114</v>
      </c>
      <c r="J8" s="19" t="s">
        <v>115</v>
      </c>
      <c r="K8" s="19" t="s">
        <v>116</v>
      </c>
    </row>
    <row r="9" spans="1:17" ht="12" customHeight="1">
      <c r="B9" s="7" t="s">
        <v>29</v>
      </c>
      <c r="C9" s="13">
        <f>'P&amp;L source'!D7</f>
        <v>24925.68</v>
      </c>
      <c r="D9" s="13">
        <f>'P&amp;L source'!E7</f>
        <v>26749.83</v>
      </c>
      <c r="E9" s="13">
        <f>'P&amp;L source'!F7</f>
        <v>35504.93</v>
      </c>
      <c r="G9" s="27">
        <f>E9*(1+G10)</f>
        <v>39765.521600000007</v>
      </c>
      <c r="H9" s="27">
        <f>G9*(1+H10)</f>
        <v>44537.384192000012</v>
      </c>
      <c r="I9" s="27">
        <f>H9*(1+I10)</f>
        <v>49881.870295040018</v>
      </c>
      <c r="J9" s="27">
        <f>I9*(1+J10)</f>
        <v>55867.694730444826</v>
      </c>
      <c r="K9" s="27">
        <f>J9*(1+K10)</f>
        <v>62571.818098098214</v>
      </c>
      <c r="M9" s="23" t="s">
        <v>184</v>
      </c>
      <c r="N9" s="21" t="s">
        <v>32</v>
      </c>
      <c r="O9" s="21" t="s">
        <v>33</v>
      </c>
      <c r="P9" s="21" t="s">
        <v>34</v>
      </c>
      <c r="Q9" s="21" t="s">
        <v>186</v>
      </c>
    </row>
    <row r="10" spans="1:17">
      <c r="B10" s="7" t="s">
        <v>30</v>
      </c>
      <c r="C10" s="35"/>
      <c r="D10" s="25">
        <f>D9/C9-1</f>
        <v>7.318356008742799E-2</v>
      </c>
      <c r="E10" s="25">
        <f>E9/D9-1</f>
        <v>0.32729553795295141</v>
      </c>
      <c r="G10" s="26">
        <f>CHOOSE($C$5,G11,G12,G13)</f>
        <v>0.12</v>
      </c>
      <c r="H10" s="26">
        <f>CHOOSE($C$5,H11,H12,H13)</f>
        <v>0.12</v>
      </c>
      <c r="I10" s="26">
        <f>CHOOSE($C$5,I11,I12,I13)</f>
        <v>0.12</v>
      </c>
      <c r="J10" s="26">
        <f>CHOOSE($C$5,J11,J12,J13)</f>
        <v>0.12</v>
      </c>
      <c r="K10" s="26">
        <f>CHOOSE($C$5,K11,K12,K13)</f>
        <v>0.12</v>
      </c>
      <c r="M10" s="7" t="s">
        <v>185</v>
      </c>
      <c r="N10" s="93">
        <v>0.12</v>
      </c>
      <c r="O10" s="93">
        <v>0.1</v>
      </c>
      <c r="P10" s="93">
        <v>0.05</v>
      </c>
      <c r="Q10" s="7" t="s">
        <v>234</v>
      </c>
    </row>
    <row r="11" spans="1:17">
      <c r="B11" s="7" t="s">
        <v>22</v>
      </c>
      <c r="C11" s="48"/>
      <c r="D11" s="48"/>
      <c r="E11" s="48"/>
      <c r="G11" s="26">
        <v>0.12</v>
      </c>
      <c r="H11" s="26">
        <v>0.12</v>
      </c>
      <c r="I11" s="26">
        <v>0.12</v>
      </c>
      <c r="J11" s="26">
        <v>0.12</v>
      </c>
      <c r="K11" s="26">
        <v>0.12</v>
      </c>
      <c r="M11" s="7" t="s">
        <v>187</v>
      </c>
      <c r="N11" s="93">
        <v>-0.43</v>
      </c>
      <c r="O11" s="93">
        <v>-0.46</v>
      </c>
      <c r="P11" s="93">
        <v>-0.5</v>
      </c>
      <c r="Q11" s="7" t="s">
        <v>235</v>
      </c>
    </row>
    <row r="12" spans="1:17">
      <c r="B12" s="7" t="s">
        <v>24</v>
      </c>
      <c r="C12" s="48"/>
      <c r="D12" s="48"/>
      <c r="E12" s="48"/>
      <c r="G12" s="26">
        <v>0.1</v>
      </c>
      <c r="H12" s="26">
        <v>0.1</v>
      </c>
      <c r="I12" s="26">
        <v>0.1</v>
      </c>
      <c r="J12" s="26">
        <v>0.1</v>
      </c>
      <c r="K12" s="26">
        <v>0.1</v>
      </c>
      <c r="M12" s="7" t="s">
        <v>221</v>
      </c>
      <c r="N12" s="93">
        <v>-7.0000000000000007E-2</v>
      </c>
      <c r="O12" s="93">
        <v>-0.09</v>
      </c>
      <c r="P12" s="93">
        <v>-0.11</v>
      </c>
      <c r="Q12" s="7" t="s">
        <v>236</v>
      </c>
    </row>
    <row r="13" spans="1:17">
      <c r="B13" s="7" t="s">
        <v>27</v>
      </c>
      <c r="C13" s="48"/>
      <c r="D13" s="48"/>
      <c r="E13" s="48"/>
      <c r="G13" s="26">
        <v>0.05</v>
      </c>
      <c r="H13" s="26">
        <v>0.05</v>
      </c>
      <c r="I13" s="26">
        <v>0.05</v>
      </c>
      <c r="J13" s="26">
        <v>0.05</v>
      </c>
      <c r="K13" s="26">
        <v>0.05</v>
      </c>
      <c r="M13" s="7" t="s">
        <v>188</v>
      </c>
      <c r="N13" s="89">
        <v>-3.7999999999999999E-2</v>
      </c>
      <c r="O13" s="89">
        <v>-4.2000000000000003E-2</v>
      </c>
      <c r="P13" s="89">
        <v>-4.4999999999999998E-2</v>
      </c>
      <c r="Q13" s="7" t="s">
        <v>237</v>
      </c>
    </row>
    <row r="14" spans="1:17" ht="3.75" customHeight="1">
      <c r="G14" s="27"/>
      <c r="H14" s="27"/>
      <c r="I14" s="27"/>
      <c r="J14" s="27"/>
      <c r="K14" s="27"/>
      <c r="N14" s="93"/>
      <c r="O14" s="93"/>
      <c r="P14" s="93"/>
    </row>
    <row r="15" spans="1:17">
      <c r="B15" s="7" t="s">
        <v>142</v>
      </c>
      <c r="C15" s="13">
        <f>'P&amp;L source'!D14</f>
        <v>-12338.36</v>
      </c>
      <c r="D15" s="13">
        <f>'P&amp;L source'!E14</f>
        <v>-9884.5</v>
      </c>
      <c r="E15" s="13">
        <f>'P&amp;L source'!F14</f>
        <v>-15124.359999999999</v>
      </c>
      <c r="G15" s="27">
        <f>G16*G$9</f>
        <v>-17099.174288000002</v>
      </c>
      <c r="H15" s="27">
        <f t="shared" ref="H15:K15" si="0">H16*H$9</f>
        <v>-19151.075202560005</v>
      </c>
      <c r="I15" s="27">
        <f t="shared" si="0"/>
        <v>-21449.204226867208</v>
      </c>
      <c r="J15" s="27">
        <f t="shared" si="0"/>
        <v>-24023.108734091275</v>
      </c>
      <c r="K15" s="27">
        <f t="shared" si="0"/>
        <v>-26905.88178218223</v>
      </c>
      <c r="M15" s="7" t="s">
        <v>191</v>
      </c>
      <c r="N15" s="109" t="s">
        <v>233</v>
      </c>
      <c r="O15" s="109" t="s">
        <v>233</v>
      </c>
      <c r="P15" s="109" t="s">
        <v>233</v>
      </c>
      <c r="Q15" s="7" t="s">
        <v>243</v>
      </c>
    </row>
    <row r="16" spans="1:17">
      <c r="B16" s="7" t="s">
        <v>35</v>
      </c>
      <c r="C16" s="24">
        <f>C15/C$9</f>
        <v>-0.4950059536991569</v>
      </c>
      <c r="D16" s="24">
        <f t="shared" ref="D16:E16" si="1">D15/D$9</f>
        <v>-0.36951636701990254</v>
      </c>
      <c r="E16" s="24">
        <f t="shared" si="1"/>
        <v>-0.42597915275427944</v>
      </c>
      <c r="G16" s="26">
        <f>CHOOSE($C$5,G17,G18,G19)</f>
        <v>-0.43</v>
      </c>
      <c r="H16" s="26">
        <f>CHOOSE($C$5,H17,H18,H19)</f>
        <v>-0.43</v>
      </c>
      <c r="I16" s="26">
        <f>CHOOSE($C$5,I17,I18,I19)</f>
        <v>-0.43</v>
      </c>
      <c r="J16" s="26">
        <f>CHOOSE($C$5,J17,J18,J19)</f>
        <v>-0.43</v>
      </c>
      <c r="K16" s="26">
        <f>CHOOSE($C$5,K17,K18,K19)</f>
        <v>-0.43</v>
      </c>
      <c r="M16" s="7" t="s">
        <v>189</v>
      </c>
      <c r="N16" s="93">
        <v>0.21</v>
      </c>
      <c r="O16" s="93">
        <v>0.18</v>
      </c>
      <c r="P16" s="93">
        <v>0.16</v>
      </c>
      <c r="Q16" s="7" t="s">
        <v>242</v>
      </c>
    </row>
    <row r="17" spans="2:23">
      <c r="B17" s="7" t="s">
        <v>32</v>
      </c>
      <c r="C17" s="48"/>
      <c r="D17" s="48"/>
      <c r="E17" s="48"/>
      <c r="G17" s="26">
        <v>-0.43</v>
      </c>
      <c r="H17" s="26">
        <v>-0.43</v>
      </c>
      <c r="I17" s="26">
        <v>-0.43</v>
      </c>
      <c r="J17" s="26">
        <v>-0.43</v>
      </c>
      <c r="K17" s="26">
        <v>-0.43</v>
      </c>
      <c r="M17" s="7" t="s">
        <v>232</v>
      </c>
      <c r="N17" s="93">
        <v>-0.09</v>
      </c>
      <c r="O17" s="93">
        <v>-0.09</v>
      </c>
      <c r="P17" s="93">
        <v>-0.09</v>
      </c>
      <c r="Q17" s="7" t="s">
        <v>238</v>
      </c>
    </row>
    <row r="18" spans="2:23">
      <c r="B18" s="7" t="s">
        <v>33</v>
      </c>
      <c r="C18" s="48"/>
      <c r="D18" s="48"/>
      <c r="E18" s="48"/>
      <c r="G18" s="26">
        <v>-0.46</v>
      </c>
      <c r="H18" s="26">
        <v>-0.46</v>
      </c>
      <c r="I18" s="26">
        <v>-0.46</v>
      </c>
      <c r="J18" s="26">
        <v>-0.46</v>
      </c>
      <c r="K18" s="26">
        <v>-0.46</v>
      </c>
    </row>
    <row r="19" spans="2:23">
      <c r="B19" s="7" t="s">
        <v>34</v>
      </c>
      <c r="C19" s="48"/>
      <c r="D19" s="48"/>
      <c r="E19" s="48"/>
      <c r="G19" s="26">
        <v>-0.5</v>
      </c>
      <c r="H19" s="26">
        <v>-0.5</v>
      </c>
      <c r="I19" s="26">
        <v>-0.5</v>
      </c>
      <c r="J19" s="26">
        <v>-0.5</v>
      </c>
      <c r="K19" s="26">
        <v>-0.5</v>
      </c>
    </row>
    <row r="20" spans="2:23" ht="3.75" customHeight="1">
      <c r="C20" s="13"/>
      <c r="D20" s="13"/>
      <c r="E20" s="13"/>
      <c r="G20" s="27"/>
      <c r="H20" s="27"/>
      <c r="I20" s="27"/>
      <c r="J20" s="27"/>
      <c r="K20" s="27"/>
    </row>
    <row r="21" spans="2:23">
      <c r="B21" s="7" t="s">
        <v>223</v>
      </c>
      <c r="C21" s="13">
        <f>'P&amp;L source'!D21</f>
        <v>-3261.9500000000003</v>
      </c>
      <c r="D21" s="13">
        <f>'P&amp;L source'!E21</f>
        <v>-2460.7800000000002</v>
      </c>
      <c r="E21" s="13">
        <f>'P&amp;L source'!F21</f>
        <v>-2817.5</v>
      </c>
      <c r="G21" s="37">
        <f>G22*G$9</f>
        <v>-2783.5865120000008</v>
      </c>
      <c r="H21" s="37">
        <f>H22*H$9</f>
        <v>-3117.6168934400011</v>
      </c>
      <c r="I21" s="37">
        <f>I22*I$9</f>
        <v>-3491.7309206528016</v>
      </c>
      <c r="J21" s="37">
        <f>J22*J$9</f>
        <v>-3910.7386311311384</v>
      </c>
      <c r="K21" s="37">
        <f>K22*K$9</f>
        <v>-4380.0272668668758</v>
      </c>
      <c r="M21" s="112" t="s">
        <v>245</v>
      </c>
      <c r="N21" s="117" t="s">
        <v>246</v>
      </c>
      <c r="O21" s="117"/>
      <c r="P21" s="117"/>
      <c r="Q21" s="117"/>
      <c r="R21" s="117"/>
      <c r="S21" s="117"/>
    </row>
    <row r="22" spans="2:23" ht="12" customHeight="1">
      <c r="B22" s="7" t="s">
        <v>35</v>
      </c>
      <c r="C22" s="24">
        <f>C21/C$9</f>
        <v>-0.13086704154109338</v>
      </c>
      <c r="D22" s="24">
        <f>D21/D$9</f>
        <v>-9.1992360325280575E-2</v>
      </c>
      <c r="E22" s="24">
        <f>E21/E$9</f>
        <v>-7.9355176872620226E-2</v>
      </c>
      <c r="G22" s="26">
        <f>CHOOSE($C$5,G23,G24,G25)</f>
        <v>-7.0000000000000007E-2</v>
      </c>
      <c r="H22" s="26">
        <f>CHOOSE($C$5,H23,H24,H25)</f>
        <v>-7.0000000000000007E-2</v>
      </c>
      <c r="I22" s="26">
        <f>CHOOSE($C$5,I23,I24,I25)</f>
        <v>-7.0000000000000007E-2</v>
      </c>
      <c r="J22" s="26">
        <f>CHOOSE($C$5,J23,J24,J25)</f>
        <v>-7.0000000000000007E-2</v>
      </c>
      <c r="K22" s="26">
        <f>CHOOSE($C$5,K23,K24,K25)</f>
        <v>-7.0000000000000007E-2</v>
      </c>
      <c r="M22" s="128" t="s">
        <v>247</v>
      </c>
      <c r="N22" s="129" t="s">
        <v>248</v>
      </c>
      <c r="O22" s="129"/>
      <c r="P22" s="129"/>
      <c r="Q22" s="129"/>
      <c r="R22" s="129"/>
      <c r="S22" s="129"/>
    </row>
    <row r="23" spans="2:23">
      <c r="B23" s="7" t="s">
        <v>32</v>
      </c>
      <c r="C23" s="48"/>
      <c r="D23" s="48"/>
      <c r="E23" s="48"/>
      <c r="G23" s="26">
        <v>-7.0000000000000007E-2</v>
      </c>
      <c r="H23" s="26">
        <v>-7.0000000000000007E-2</v>
      </c>
      <c r="I23" s="26">
        <v>-7.0000000000000007E-2</v>
      </c>
      <c r="J23" s="26">
        <v>-7.0000000000000007E-2</v>
      </c>
      <c r="K23" s="26">
        <v>-7.0000000000000007E-2</v>
      </c>
      <c r="M23" s="128"/>
      <c r="N23" s="118" t="s">
        <v>249</v>
      </c>
      <c r="O23" s="118"/>
      <c r="P23" s="118"/>
      <c r="Q23" s="118"/>
      <c r="R23" s="118"/>
      <c r="S23" s="118"/>
    </row>
    <row r="24" spans="2:23" ht="12" customHeight="1">
      <c r="B24" s="7" t="s">
        <v>33</v>
      </c>
      <c r="C24" s="48"/>
      <c r="D24" s="48"/>
      <c r="E24" s="48"/>
      <c r="G24" s="26">
        <v>-0.09</v>
      </c>
      <c r="H24" s="26">
        <v>-0.09</v>
      </c>
      <c r="I24" s="26">
        <v>-0.09</v>
      </c>
      <c r="J24" s="26">
        <v>-0.09</v>
      </c>
      <c r="K24" s="26">
        <v>-0.09</v>
      </c>
      <c r="M24" s="128"/>
      <c r="N24" s="129" t="s">
        <v>253</v>
      </c>
      <c r="O24" s="129"/>
      <c r="P24" s="129"/>
      <c r="Q24" s="129"/>
      <c r="R24" s="129"/>
      <c r="S24" s="129"/>
      <c r="T24" s="113"/>
      <c r="U24" s="113"/>
      <c r="V24" s="113"/>
      <c r="W24" s="113"/>
    </row>
    <row r="25" spans="2:23" ht="12" customHeight="1">
      <c r="B25" s="7" t="s">
        <v>34</v>
      </c>
      <c r="C25" s="48"/>
      <c r="D25" s="48"/>
      <c r="E25" s="48"/>
      <c r="G25" s="26">
        <v>-0.11</v>
      </c>
      <c r="H25" s="26">
        <v>-0.11</v>
      </c>
      <c r="I25" s="26">
        <v>-0.11</v>
      </c>
      <c r="J25" s="26">
        <v>-0.11</v>
      </c>
      <c r="K25" s="26">
        <v>-0.11</v>
      </c>
      <c r="M25" s="128"/>
      <c r="N25" s="129"/>
      <c r="O25" s="129"/>
      <c r="P25" s="129"/>
      <c r="Q25" s="129"/>
      <c r="R25" s="129"/>
      <c r="S25" s="129"/>
    </row>
    <row r="26" spans="2:23" ht="3.75" customHeight="1">
      <c r="C26" s="13"/>
      <c r="D26" s="13"/>
      <c r="E26" s="13"/>
      <c r="G26" s="27"/>
      <c r="H26" s="27"/>
      <c r="I26" s="27"/>
      <c r="J26" s="27"/>
      <c r="K26" s="27"/>
      <c r="M26" s="128"/>
      <c r="N26" s="119" t="s">
        <v>252</v>
      </c>
      <c r="O26" s="120"/>
      <c r="P26" s="120"/>
      <c r="Q26" s="120"/>
      <c r="R26" s="120"/>
      <c r="S26" s="121"/>
    </row>
    <row r="27" spans="2:23" ht="12" customHeight="1">
      <c r="B27" s="7" t="s">
        <v>36</v>
      </c>
      <c r="C27" s="13">
        <f>'P&amp;L source'!D26</f>
        <v>-1269.17</v>
      </c>
      <c r="D27" s="13">
        <f>'P&amp;L source'!E26</f>
        <v>-1396.76</v>
      </c>
      <c r="E27" s="13">
        <f>'P&amp;L source'!F26</f>
        <v>-1426.72</v>
      </c>
      <c r="G27" s="37">
        <f>G28*G$9</f>
        <v>-1511.0898208000003</v>
      </c>
      <c r="H27" s="37">
        <f>H28*H$9</f>
        <v>-1692.4205992960003</v>
      </c>
      <c r="I27" s="37">
        <f>I28*I$9</f>
        <v>-1895.5110712115206</v>
      </c>
      <c r="J27" s="37">
        <f>J28*J$9</f>
        <v>-2122.9723997569035</v>
      </c>
      <c r="K27" s="37">
        <f>K28*K$9</f>
        <v>-2377.7290877277319</v>
      </c>
      <c r="M27" s="128"/>
      <c r="N27" s="122"/>
      <c r="O27" s="123"/>
      <c r="P27" s="123"/>
      <c r="Q27" s="123"/>
      <c r="R27" s="123"/>
      <c r="S27" s="124"/>
    </row>
    <row r="28" spans="2:23" ht="12" customHeight="1">
      <c r="B28" s="7" t="s">
        <v>35</v>
      </c>
      <c r="C28" s="25">
        <f>C27/C$9</f>
        <v>-5.0918169534391843E-2</v>
      </c>
      <c r="D28" s="25">
        <f>D27/D$9</f>
        <v>-5.2215658940636255E-2</v>
      </c>
      <c r="E28" s="25">
        <f>E27/E$9</f>
        <v>-4.0183715331927147E-2</v>
      </c>
      <c r="G28" s="76">
        <f>CHOOSE($C$5,G29,G30,G31)</f>
        <v>-3.7999999999999999E-2</v>
      </c>
      <c r="H28" s="76">
        <f>CHOOSE($C$5,H29,H30,H31)</f>
        <v>-3.7999999999999999E-2</v>
      </c>
      <c r="I28" s="76">
        <f>CHOOSE($C$5,I29,I30,I31)</f>
        <v>-3.7999999999999999E-2</v>
      </c>
      <c r="J28" s="76">
        <f>CHOOSE($C$5,J29,J30,J31)</f>
        <v>-3.7999999999999999E-2</v>
      </c>
      <c r="K28" s="76">
        <f>CHOOSE($C$5,K29,K30,K31)</f>
        <v>-3.7999999999999999E-2</v>
      </c>
      <c r="M28" s="128"/>
      <c r="N28" s="125"/>
      <c r="O28" s="126"/>
      <c r="P28" s="126"/>
      <c r="Q28" s="126"/>
      <c r="R28" s="126"/>
      <c r="S28" s="127"/>
    </row>
    <row r="29" spans="2:23" ht="12" customHeight="1">
      <c r="B29" s="7" t="s">
        <v>32</v>
      </c>
      <c r="C29" s="48"/>
      <c r="D29" s="48"/>
      <c r="E29" s="48"/>
      <c r="G29" s="76">
        <v>-3.7999999999999999E-2</v>
      </c>
      <c r="H29" s="76">
        <v>-3.7999999999999999E-2</v>
      </c>
      <c r="I29" s="76">
        <v>-3.7999999999999999E-2</v>
      </c>
      <c r="J29" s="76">
        <v>-3.7999999999999999E-2</v>
      </c>
      <c r="K29" s="76">
        <v>-3.7999999999999999E-2</v>
      </c>
      <c r="M29" s="128" t="s">
        <v>250</v>
      </c>
      <c r="N29" s="118" t="s">
        <v>254</v>
      </c>
      <c r="O29" s="118"/>
      <c r="P29" s="118"/>
      <c r="Q29" s="118"/>
      <c r="R29" s="118"/>
      <c r="S29" s="118"/>
    </row>
    <row r="30" spans="2:23" ht="12" customHeight="1">
      <c r="B30" s="7" t="s">
        <v>33</v>
      </c>
      <c r="C30" s="48"/>
      <c r="D30" s="48"/>
      <c r="E30" s="48"/>
      <c r="G30" s="76">
        <v>-4.2000000000000003E-2</v>
      </c>
      <c r="H30" s="76">
        <v>-4.2000000000000003E-2</v>
      </c>
      <c r="I30" s="76">
        <v>-4.2000000000000003E-2</v>
      </c>
      <c r="J30" s="76">
        <v>-4.2000000000000003E-2</v>
      </c>
      <c r="K30" s="76">
        <v>-4.2000000000000003E-2</v>
      </c>
      <c r="M30" s="128"/>
      <c r="N30" s="118" t="s">
        <v>255</v>
      </c>
      <c r="O30" s="118"/>
      <c r="P30" s="118"/>
      <c r="Q30" s="118"/>
      <c r="R30" s="118"/>
      <c r="S30" s="118"/>
    </row>
    <row r="31" spans="2:23" ht="12" customHeight="1">
      <c r="B31" s="7" t="s">
        <v>34</v>
      </c>
      <c r="C31" s="48"/>
      <c r="D31" s="48"/>
      <c r="E31" s="48"/>
      <c r="G31" s="76">
        <v>-4.4999999999999998E-2</v>
      </c>
      <c r="H31" s="76">
        <v>-4.4999999999999998E-2</v>
      </c>
      <c r="I31" s="76">
        <v>-4.4999999999999998E-2</v>
      </c>
      <c r="J31" s="76">
        <v>-4.4999999999999998E-2</v>
      </c>
      <c r="K31" s="76">
        <v>-4.4999999999999998E-2</v>
      </c>
      <c r="M31" s="128"/>
      <c r="N31" s="118" t="s">
        <v>256</v>
      </c>
      <c r="O31" s="118"/>
      <c r="P31" s="118"/>
      <c r="Q31" s="118"/>
      <c r="R31" s="118"/>
      <c r="S31" s="118"/>
    </row>
    <row r="32" spans="2:23" ht="3" customHeight="1">
      <c r="C32" s="13"/>
      <c r="D32" s="13"/>
      <c r="E32" s="13"/>
      <c r="G32" s="26"/>
      <c r="H32" s="26"/>
      <c r="I32" s="26"/>
      <c r="J32" s="26"/>
      <c r="K32" s="26"/>
      <c r="M32" s="128"/>
      <c r="N32" s="118" t="s">
        <v>257</v>
      </c>
      <c r="O32" s="118"/>
      <c r="P32" s="118"/>
      <c r="Q32" s="118"/>
      <c r="R32" s="118"/>
      <c r="S32" s="118"/>
    </row>
    <row r="33" spans="2:19">
      <c r="B33" s="7" t="s">
        <v>224</v>
      </c>
      <c r="C33" s="13">
        <f>'P&amp;L source'!D32</f>
        <v>-981.39</v>
      </c>
      <c r="D33" s="13">
        <f>'P&amp;L source'!E32</f>
        <v>-1039.47</v>
      </c>
      <c r="E33" s="13">
        <f>'P&amp;L source'!F32</f>
        <v>-940.91</v>
      </c>
      <c r="G33" s="37">
        <f>E33*(1+G34)</f>
        <v>-940.91</v>
      </c>
      <c r="H33" s="37">
        <f>G33*(1+H34)</f>
        <v>-940.91</v>
      </c>
      <c r="I33" s="37">
        <f>H33*(1+I34)</f>
        <v>-940.91</v>
      </c>
      <c r="J33" s="37">
        <f>I33*(1+J34)</f>
        <v>-940.91</v>
      </c>
      <c r="K33" s="37">
        <f>J33*(1+K34)</f>
        <v>-940.91</v>
      </c>
      <c r="M33" s="128"/>
      <c r="N33" s="118"/>
      <c r="O33" s="118"/>
      <c r="P33" s="118"/>
      <c r="Q33" s="118"/>
      <c r="R33" s="118"/>
      <c r="S33" s="118"/>
    </row>
    <row r="34" spans="2:19">
      <c r="B34" s="7" t="s">
        <v>31</v>
      </c>
      <c r="C34" s="25"/>
      <c r="D34" s="25"/>
      <c r="E34" s="25"/>
      <c r="G34" s="26">
        <f>CHOOSE($C$5,G35,G36,G37)</f>
        <v>0</v>
      </c>
      <c r="H34" s="26">
        <f>CHOOSE($C$5,H35,H36,H37)</f>
        <v>0</v>
      </c>
      <c r="I34" s="26">
        <f>CHOOSE($C$5,I35,I36,I37)</f>
        <v>0</v>
      </c>
      <c r="J34" s="26">
        <f>CHOOSE($C$5,J35,J36,J37)</f>
        <v>0</v>
      </c>
      <c r="K34" s="26">
        <f>CHOOSE($C$5,K35,K36,K37)</f>
        <v>0</v>
      </c>
      <c r="M34" s="128"/>
      <c r="N34" s="131" t="s">
        <v>258</v>
      </c>
      <c r="O34" s="132"/>
      <c r="P34" s="132"/>
      <c r="Q34" s="132"/>
      <c r="R34" s="132"/>
      <c r="S34" s="133"/>
    </row>
    <row r="35" spans="2:19">
      <c r="B35" s="7" t="s">
        <v>32</v>
      </c>
      <c r="C35" s="48"/>
      <c r="D35" s="48"/>
      <c r="E35" s="48"/>
      <c r="G35" s="26">
        <v>0</v>
      </c>
      <c r="H35" s="26">
        <v>0</v>
      </c>
      <c r="I35" s="26">
        <v>0</v>
      </c>
      <c r="J35" s="26">
        <v>0</v>
      </c>
      <c r="K35" s="26">
        <v>0</v>
      </c>
      <c r="M35" s="128" t="s">
        <v>251</v>
      </c>
      <c r="N35" s="118" t="s">
        <v>259</v>
      </c>
      <c r="O35" s="118"/>
      <c r="P35" s="118"/>
      <c r="Q35" s="118"/>
      <c r="R35" s="118"/>
      <c r="S35" s="118"/>
    </row>
    <row r="36" spans="2:19">
      <c r="B36" s="7" t="s">
        <v>33</v>
      </c>
      <c r="C36" s="48"/>
      <c r="D36" s="48"/>
      <c r="E36" s="48"/>
      <c r="G36" s="26">
        <v>0</v>
      </c>
      <c r="H36" s="26">
        <v>0</v>
      </c>
      <c r="I36" s="26">
        <v>0</v>
      </c>
      <c r="J36" s="26">
        <v>0</v>
      </c>
      <c r="K36" s="26">
        <v>0</v>
      </c>
      <c r="M36" s="128"/>
      <c r="N36" s="118" t="s">
        <v>260</v>
      </c>
      <c r="O36" s="118"/>
      <c r="P36" s="118"/>
      <c r="Q36" s="118"/>
      <c r="R36" s="118"/>
      <c r="S36" s="118"/>
    </row>
    <row r="37" spans="2:19" ht="12" customHeight="1">
      <c r="B37" s="7" t="s">
        <v>34</v>
      </c>
      <c r="C37" s="48"/>
      <c r="D37" s="48"/>
      <c r="E37" s="48"/>
      <c r="G37" s="26">
        <v>0</v>
      </c>
      <c r="H37" s="26">
        <v>0</v>
      </c>
      <c r="I37" s="26">
        <v>0</v>
      </c>
      <c r="J37" s="26">
        <v>0</v>
      </c>
      <c r="K37" s="26">
        <v>0</v>
      </c>
      <c r="M37" s="128"/>
      <c r="N37" s="118" t="s">
        <v>261</v>
      </c>
      <c r="O37" s="118"/>
      <c r="P37" s="118"/>
      <c r="Q37" s="118"/>
      <c r="R37" s="118"/>
      <c r="S37" s="118"/>
    </row>
    <row r="38" spans="2:19" ht="3.75" customHeight="1">
      <c r="C38" s="13"/>
      <c r="D38" s="13"/>
      <c r="E38" s="13"/>
      <c r="G38" s="26"/>
      <c r="H38" s="26"/>
      <c r="I38" s="26"/>
      <c r="J38" s="26"/>
      <c r="K38" s="26"/>
      <c r="M38" s="128"/>
      <c r="N38" s="130" t="s">
        <v>262</v>
      </c>
      <c r="O38" s="130"/>
      <c r="P38" s="130"/>
      <c r="Q38" s="130"/>
      <c r="R38" s="130"/>
      <c r="S38" s="130"/>
    </row>
    <row r="39" spans="2:19" ht="12" customHeight="1">
      <c r="B39" s="7" t="s">
        <v>239</v>
      </c>
      <c r="C39" s="13">
        <f>'P&amp;L source'!D37</f>
        <v>1402.21</v>
      </c>
      <c r="D39" s="13">
        <f>'P&amp;L source'!E37</f>
        <v>3093.2499999999991</v>
      </c>
      <c r="E39" s="13">
        <f>'P&amp;L source'!F37</f>
        <v>3704.3699999999994</v>
      </c>
      <c r="G39" s="27">
        <f>G40*G$9</f>
        <v>8350.7595360000014</v>
      </c>
      <c r="H39" s="27">
        <f t="shared" ref="H39:K39" si="2">H40*H$9</f>
        <v>9352.8506803200016</v>
      </c>
      <c r="I39" s="27">
        <f t="shared" si="2"/>
        <v>10475.192761958404</v>
      </c>
      <c r="J39" s="27">
        <f t="shared" si="2"/>
        <v>11732.215893393413</v>
      </c>
      <c r="K39" s="27">
        <f t="shared" si="2"/>
        <v>13140.081800600625</v>
      </c>
      <c r="M39" s="128"/>
      <c r="N39" s="130"/>
      <c r="O39" s="130"/>
      <c r="P39" s="130"/>
      <c r="Q39" s="130"/>
      <c r="R39" s="130"/>
      <c r="S39" s="130"/>
    </row>
    <row r="40" spans="2:19" ht="12" customHeight="1">
      <c r="B40" s="7" t="s">
        <v>35</v>
      </c>
      <c r="C40" s="94">
        <f>C39/'P&amp;L source'!D38</f>
        <v>0.16541308148382336</v>
      </c>
      <c r="D40" s="94">
        <f>D39/'P&amp;L source'!E38</f>
        <v>0.20537367618382407</v>
      </c>
      <c r="E40" s="94">
        <f>E39/'P&amp;L source'!F38</f>
        <v>0.19600038307263401</v>
      </c>
      <c r="G40" s="26">
        <f>CHOOSE($C$5,G41,G42,G43)</f>
        <v>0.21</v>
      </c>
      <c r="H40" s="26">
        <f>CHOOSE($C$5,H41,H42,H43)</f>
        <v>0.21</v>
      </c>
      <c r="I40" s="26">
        <f>CHOOSE($C$5,I41,I42,I43)</f>
        <v>0.21</v>
      </c>
      <c r="J40" s="26">
        <f>CHOOSE($C$5,J41,J42,J43)</f>
        <v>0.21</v>
      </c>
      <c r="K40" s="26">
        <f>CHOOSE($C$5,K41,K42,K43)</f>
        <v>0.21</v>
      </c>
      <c r="M40" s="114"/>
    </row>
    <row r="41" spans="2:19" ht="12" customHeight="1">
      <c r="B41" s="7" t="s">
        <v>32</v>
      </c>
      <c r="C41" s="48"/>
      <c r="D41" s="48"/>
      <c r="E41" s="48"/>
      <c r="G41" s="26">
        <v>0.21</v>
      </c>
      <c r="H41" s="26">
        <v>0.21</v>
      </c>
      <c r="I41" s="26">
        <v>0.21</v>
      </c>
      <c r="J41" s="26">
        <v>0.21</v>
      </c>
      <c r="K41" s="26">
        <v>0.21</v>
      </c>
    </row>
    <row r="42" spans="2:19" ht="12" customHeight="1">
      <c r="B42" s="7" t="s">
        <v>33</v>
      </c>
      <c r="C42" s="48"/>
      <c r="D42" s="48"/>
      <c r="E42" s="48"/>
      <c r="G42" s="26">
        <v>0.18</v>
      </c>
      <c r="H42" s="26">
        <v>0.18</v>
      </c>
      <c r="I42" s="26">
        <v>0.18</v>
      </c>
      <c r="J42" s="26">
        <v>0.18</v>
      </c>
      <c r="K42" s="26">
        <v>0.18</v>
      </c>
    </row>
    <row r="43" spans="2:19" ht="12" customHeight="1">
      <c r="B43" s="7" t="s">
        <v>34</v>
      </c>
      <c r="C43" s="48"/>
      <c r="D43" s="48"/>
      <c r="E43" s="48"/>
      <c r="G43" s="26">
        <v>0.16</v>
      </c>
      <c r="H43" s="26">
        <v>0.16</v>
      </c>
      <c r="I43" s="26">
        <v>0.16</v>
      </c>
      <c r="J43" s="26">
        <v>0.16</v>
      </c>
      <c r="K43" s="26">
        <v>0.16</v>
      </c>
    </row>
    <row r="44" spans="2:19" ht="3.75" customHeight="1">
      <c r="C44" s="13"/>
      <c r="D44" s="13"/>
      <c r="E44" s="13"/>
      <c r="G44" s="26"/>
      <c r="H44" s="26"/>
      <c r="I44" s="26"/>
      <c r="J44" s="26"/>
      <c r="K44" s="26"/>
    </row>
    <row r="45" spans="2:19" ht="12" customHeight="1">
      <c r="B45" s="7" t="s">
        <v>37</v>
      </c>
      <c r="C45" s="13">
        <f>'P&amp;L source'!D40</f>
        <v>-338.16</v>
      </c>
      <c r="D45" s="13">
        <f>'P&amp;L source'!E40</f>
        <v>-232.41</v>
      </c>
      <c r="E45" s="13">
        <f>'P&amp;L source'!F40</f>
        <v>-1450.71</v>
      </c>
      <c r="G45" s="37"/>
      <c r="H45" s="37"/>
      <c r="I45" s="37"/>
      <c r="J45" s="37"/>
      <c r="K45" s="37"/>
    </row>
    <row r="46" spans="2:19" ht="12" customHeight="1">
      <c r="B46" s="7" t="s">
        <v>38</v>
      </c>
      <c r="C46" s="24">
        <f>C45/'P&amp;L source'!D38</f>
        <v>-3.9891376922550625E-2</v>
      </c>
      <c r="D46" s="24">
        <f>D45/'P&amp;L source'!E38</f>
        <v>-1.5430662274915564E-2</v>
      </c>
      <c r="E46" s="24">
        <f>E45/'P&amp;L source'!F38</f>
        <v>-7.6757914497553148E-2</v>
      </c>
      <c r="G46" s="26">
        <f>CHOOSE($C$5,G47,G48,G49)</f>
        <v>-0.09</v>
      </c>
      <c r="H46" s="26">
        <f>CHOOSE($C$5,H47,H48,H49)</f>
        <v>-0.09</v>
      </c>
      <c r="I46" s="26">
        <f>CHOOSE($C$5,I47,I48,I49)</f>
        <v>-0.09</v>
      </c>
      <c r="J46" s="26">
        <f>CHOOSE($C$5,J47,J48,J49)</f>
        <v>-0.09</v>
      </c>
      <c r="K46" s="26">
        <f>CHOOSE($C$5,K47,K48,K49)</f>
        <v>-0.09</v>
      </c>
    </row>
    <row r="47" spans="2:19" ht="12" customHeight="1">
      <c r="B47" s="7" t="s">
        <v>32</v>
      </c>
      <c r="C47" s="48"/>
      <c r="D47" s="48"/>
      <c r="E47" s="48"/>
      <c r="G47" s="26">
        <v>-0.09</v>
      </c>
      <c r="H47" s="26">
        <v>-0.09</v>
      </c>
      <c r="I47" s="26">
        <v>-0.09</v>
      </c>
      <c r="J47" s="26">
        <v>-0.09</v>
      </c>
      <c r="K47" s="26">
        <v>-0.09</v>
      </c>
    </row>
    <row r="48" spans="2:19" ht="12" customHeight="1">
      <c r="B48" s="7" t="s">
        <v>33</v>
      </c>
      <c r="C48" s="48"/>
      <c r="D48" s="48"/>
      <c r="E48" s="48"/>
      <c r="G48" s="26">
        <v>-0.09</v>
      </c>
      <c r="H48" s="26">
        <v>-0.09</v>
      </c>
      <c r="I48" s="26">
        <v>-0.09</v>
      </c>
      <c r="J48" s="26">
        <v>-0.09</v>
      </c>
      <c r="K48" s="26">
        <v>-0.09</v>
      </c>
    </row>
    <row r="49" spans="2:11" ht="12" customHeight="1">
      <c r="B49" s="7" t="s">
        <v>34</v>
      </c>
      <c r="C49" s="48"/>
      <c r="D49" s="48"/>
      <c r="E49" s="48"/>
      <c r="G49" s="26">
        <v>-0.09</v>
      </c>
      <c r="H49" s="26">
        <v>-0.09</v>
      </c>
      <c r="I49" s="26">
        <v>-0.09</v>
      </c>
      <c r="J49" s="26">
        <v>-0.09</v>
      </c>
      <c r="K49" s="26">
        <v>-0.09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2" spans="2:11">
      <c r="G52" s="36"/>
      <c r="H52" s="36"/>
      <c r="I52" s="36"/>
      <c r="J52" s="36"/>
      <c r="K52" s="36"/>
    </row>
    <row r="53" spans="2:11">
      <c r="G53" s="24"/>
      <c r="H53" s="24"/>
      <c r="I53" s="24"/>
      <c r="J53" s="24"/>
      <c r="K53" s="24"/>
    </row>
    <row r="54" spans="2:11">
      <c r="G54" s="24"/>
      <c r="H54" s="24"/>
      <c r="I54" s="24"/>
      <c r="J54" s="24"/>
      <c r="K54" s="24"/>
    </row>
    <row r="55" spans="2:11">
      <c r="G55" s="24"/>
      <c r="H55" s="24"/>
      <c r="I55" s="24"/>
      <c r="J55" s="24"/>
      <c r="K55" s="24"/>
    </row>
    <row r="56" spans="2:11">
      <c r="G56" s="24"/>
      <c r="H56" s="24"/>
      <c r="I56" s="24"/>
      <c r="J56" s="24"/>
      <c r="K56" s="24"/>
    </row>
  </sheetData>
  <mergeCells count="17">
    <mergeCell ref="M35:M39"/>
    <mergeCell ref="N38:S39"/>
    <mergeCell ref="N32:S33"/>
    <mergeCell ref="N34:S34"/>
    <mergeCell ref="N24:S25"/>
    <mergeCell ref="N35:S35"/>
    <mergeCell ref="N36:S36"/>
    <mergeCell ref="N37:S37"/>
    <mergeCell ref="N29:S29"/>
    <mergeCell ref="N30:S30"/>
    <mergeCell ref="N21:S21"/>
    <mergeCell ref="N23:S23"/>
    <mergeCell ref="N26:S28"/>
    <mergeCell ref="M22:M28"/>
    <mergeCell ref="M29:M34"/>
    <mergeCell ref="N31:S31"/>
    <mergeCell ref="N22:S22"/>
  </mergeCells>
  <phoneticPr fontId="7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33"/>
  <sheetViews>
    <sheetView zoomScale="130" zoomScaleNormal="130" workbookViewId="0">
      <selection activeCell="G11" sqref="G11"/>
    </sheetView>
  </sheetViews>
  <sheetFormatPr baseColWidth="10" defaultColWidth="9.1640625" defaultRowHeight="12"/>
  <cols>
    <col min="1" max="1" width="2" style="7" customWidth="1"/>
    <col min="2" max="2" width="23.33203125" style="7" bestFit="1" customWidth="1"/>
    <col min="3" max="4" width="9.1640625" style="7" customWidth="1"/>
    <col min="5" max="5" width="10" style="7" bestFit="1" customWidth="1"/>
    <col min="6" max="6" width="2" style="7" customWidth="1"/>
    <col min="7" max="7" width="11" style="7" bestFit="1" customWidth="1"/>
    <col min="8" max="8" width="9.1640625" style="7" customWidth="1"/>
    <col min="9" max="16384" width="9.1640625" style="7"/>
  </cols>
  <sheetData>
    <row r="1" spans="2:11" ht="15.5" customHeight="1">
      <c r="B1" s="6" t="s">
        <v>6</v>
      </c>
    </row>
    <row r="2" spans="2:11">
      <c r="B2" s="7" t="s">
        <v>153</v>
      </c>
    </row>
    <row r="3" spans="2:11" ht="3.75" customHeight="1"/>
    <row r="4" spans="2:11" ht="24.5" customHeight="1" thickBot="1">
      <c r="B4" s="17" t="s">
        <v>154</v>
      </c>
      <c r="C4" s="18" t="s">
        <v>117</v>
      </c>
      <c r="D4" s="18" t="s">
        <v>118</v>
      </c>
      <c r="E4" s="18" t="s">
        <v>119</v>
      </c>
      <c r="F4" s="21"/>
      <c r="G4" s="19" t="s">
        <v>120</v>
      </c>
      <c r="H4" s="19" t="s">
        <v>121</v>
      </c>
      <c r="I4" s="19" t="s">
        <v>122</v>
      </c>
      <c r="J4" s="19" t="s">
        <v>123</v>
      </c>
      <c r="K4" s="19" t="s">
        <v>124</v>
      </c>
    </row>
    <row r="5" spans="2:11">
      <c r="B5" s="7" t="s">
        <v>158</v>
      </c>
      <c r="C5" s="13">
        <f>'BS source'!D5</f>
        <v>22218.35</v>
      </c>
      <c r="D5" s="13">
        <f>'BS source'!E5</f>
        <v>17255.07</v>
      </c>
      <c r="E5" s="13">
        <f>'BS source'!F5</f>
        <v>15484.28</v>
      </c>
      <c r="G5" s="27">
        <f>G6*'P&amp;L assumptions'!G9/360</f>
        <v>17342.393600000003</v>
      </c>
      <c r="H5" s="27">
        <f>H6*'P&amp;L assumptions'!H9/360</f>
        <v>19423.480832000008</v>
      </c>
      <c r="I5" s="27">
        <f>I6*'P&amp;L assumptions'!I9/360</f>
        <v>21754.29853184001</v>
      </c>
      <c r="J5" s="27">
        <f>J6*'P&amp;L assumptions'!J9/360</f>
        <v>24364.814355660808</v>
      </c>
      <c r="K5" s="27">
        <f>K6*'P&amp;L assumptions'!K9/360</f>
        <v>27288.592078340116</v>
      </c>
    </row>
    <row r="6" spans="2:11">
      <c r="B6" s="16" t="s">
        <v>217</v>
      </c>
      <c r="C6" s="16">
        <f>C5/'P&amp;L assumptions'!C$9*360</f>
        <v>320.89820618735376</v>
      </c>
      <c r="D6" s="16">
        <f>D5/'P&amp;L assumptions'!D$9*360</f>
        <v>232.21924027180731</v>
      </c>
      <c r="E6" s="16">
        <f>E5/'P&amp;L assumptions'!E$9*360</f>
        <v>157.0018811472097</v>
      </c>
      <c r="G6" s="39">
        <f>$E$6</f>
        <v>157.0018811472097</v>
      </c>
      <c r="H6" s="39">
        <f>$E$6</f>
        <v>157.0018811472097</v>
      </c>
      <c r="I6" s="39">
        <f>$E$6</f>
        <v>157.0018811472097</v>
      </c>
      <c r="J6" s="39">
        <f>$E$6</f>
        <v>157.0018811472097</v>
      </c>
      <c r="K6" s="39">
        <f>$E$6</f>
        <v>157.0018811472097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41</v>
      </c>
      <c r="C8" s="13">
        <f>'BS source'!D$6</f>
        <v>7750.9100000000008</v>
      </c>
      <c r="D8" s="13">
        <f>'BS source'!E$6</f>
        <v>7611</v>
      </c>
      <c r="E8" s="13">
        <f>'BS source'!F$6</f>
        <v>10739.08</v>
      </c>
      <c r="G8" s="98">
        <f>G9*'P&amp;L assumptions'!G$9</f>
        <v>11902.526959024422</v>
      </c>
      <c r="H8" s="98">
        <f>H9*'P&amp;L assumptions'!H$9</f>
        <v>13330.830194107353</v>
      </c>
      <c r="I8" s="98">
        <f>I9*'P&amp;L assumptions'!I$9</f>
        <v>14930.529817400238</v>
      </c>
      <c r="J8" s="98">
        <f>J9*'P&amp;L assumptions'!J$9</f>
        <v>16722.193395488266</v>
      </c>
      <c r="K8" s="98">
        <f>K9*'P&amp;L assumptions'!K$9</f>
        <v>18728.856602946864</v>
      </c>
    </row>
    <row r="9" spans="2:11">
      <c r="B9" s="16" t="s">
        <v>40</v>
      </c>
      <c r="C9" s="95">
        <f>C8/'P&amp;L assumptions'!C$9</f>
        <v>0.31096082433859379</v>
      </c>
      <c r="D9" s="95">
        <f>D8/'P&amp;L assumptions'!D$9</f>
        <v>0.28452517268334038</v>
      </c>
      <c r="E9" s="95">
        <f>E8/'P&amp;L assumptions'!E$9</f>
        <v>0.30246729116210058</v>
      </c>
      <c r="G9" s="97">
        <f>AVERAGE($C9:$E9)</f>
        <v>0.29931776272801158</v>
      </c>
      <c r="H9" s="97">
        <f t="shared" ref="H9:K9" si="0">AVERAGE($C9:$E9)</f>
        <v>0.29931776272801158</v>
      </c>
      <c r="I9" s="97">
        <f t="shared" si="0"/>
        <v>0.29931776272801158</v>
      </c>
      <c r="J9" s="97">
        <f t="shared" si="0"/>
        <v>0.29931776272801158</v>
      </c>
      <c r="K9" s="97">
        <f t="shared" si="0"/>
        <v>0.29931776272801158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162</v>
      </c>
      <c r="C11" s="13">
        <f>'BS source'!D$7</f>
        <v>42240.59</v>
      </c>
      <c r="D11" s="13">
        <f>'BS source'!E$7</f>
        <v>40997.599999999999</v>
      </c>
      <c r="E11" s="13">
        <f>'BS source'!F$7</f>
        <v>45096.26</v>
      </c>
      <c r="G11" s="27">
        <f>-G12*'P&amp;L assumptions'!G$15</f>
        <v>60148.511463532588</v>
      </c>
      <c r="H11" s="27">
        <f>-H12*'P&amp;L assumptions'!H$15</f>
        <v>67366.332839156501</v>
      </c>
      <c r="I11" s="27">
        <f>-I12*'P&amp;L assumptions'!I$15</f>
        <v>75450.292779855299</v>
      </c>
      <c r="J11" s="27">
        <f>-J12*'P&amp;L assumptions'!J$15</f>
        <v>84504.327913437941</v>
      </c>
      <c r="K11" s="27">
        <f>-K12*'P&amp;L assumptions'!K$15</f>
        <v>94644.847263050498</v>
      </c>
    </row>
    <row r="12" spans="2:11">
      <c r="B12" s="16" t="s">
        <v>40</v>
      </c>
      <c r="C12" s="95">
        <f>-C11/'P&amp;L assumptions'!C$15</f>
        <v>3.4235173880483303</v>
      </c>
      <c r="D12" s="95">
        <f>-D11/'P&amp;L assumptions'!D$15</f>
        <v>4.1476655369517932</v>
      </c>
      <c r="E12" s="95">
        <f>-E11/'P&amp;L assumptions'!E$15</f>
        <v>2.9816970767688686</v>
      </c>
      <c r="G12" s="97">
        <f>AVERAGE($C12:$E12)</f>
        <v>3.5176266672563306</v>
      </c>
      <c r="H12" s="97">
        <f t="shared" ref="H12:K12" si="1">AVERAGE($C12:$E12)</f>
        <v>3.5176266672563306</v>
      </c>
      <c r="I12" s="97">
        <f t="shared" si="1"/>
        <v>3.5176266672563306</v>
      </c>
      <c r="J12" s="97">
        <f t="shared" si="1"/>
        <v>3.5176266672563306</v>
      </c>
      <c r="K12" s="97">
        <f t="shared" si="1"/>
        <v>3.5176266672563306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39</v>
      </c>
      <c r="C14" s="13">
        <f>'BS source'!D$16</f>
        <v>9883.8799999999992</v>
      </c>
      <c r="D14" s="13">
        <f>'BS source'!E$16</f>
        <v>9490.93</v>
      </c>
      <c r="E14" s="13">
        <f>'BS source'!F$16</f>
        <v>8986.89</v>
      </c>
      <c r="G14" s="27">
        <f>G15*'P&amp;L assumptions'!G$9</f>
        <v>13314.213372027532</v>
      </c>
      <c r="H14" s="27">
        <f>H15*'P&amp;L assumptions'!H$9</f>
        <v>14911.918976670837</v>
      </c>
      <c r="I14" s="27">
        <f>I15*'P&amp;L assumptions'!I$9</f>
        <v>16701.34925387134</v>
      </c>
      <c r="J14" s="27">
        <f>J15*'P&amp;L assumptions'!J$9</f>
        <v>18705.511164335901</v>
      </c>
      <c r="K14" s="27">
        <f>K15*'P&amp;L assumptions'!K$9</f>
        <v>20950.172504056212</v>
      </c>
    </row>
    <row r="15" spans="2:11">
      <c r="B15" s="16" t="s">
        <v>40</v>
      </c>
      <c r="C15" s="38">
        <f>C14/'P&amp;L assumptions'!C$9</f>
        <v>0.39653401632372715</v>
      </c>
      <c r="D15" s="38">
        <f>D14/'P&amp;L assumptions'!D$9</f>
        <v>0.35480337632052239</v>
      </c>
      <c r="E15" s="38">
        <f>E14/'P&amp;L assumptions'!E$9</f>
        <v>0.25311667985262892</v>
      </c>
      <c r="G15" s="96">
        <f>AVERAGE($C15:$E15)</f>
        <v>0.33481802416562617</v>
      </c>
      <c r="H15" s="96">
        <f>AVERAGE($C15:$E15)</f>
        <v>0.33481802416562617</v>
      </c>
      <c r="I15" s="96">
        <f>AVERAGE($C15:$E15)</f>
        <v>0.33481802416562617</v>
      </c>
      <c r="J15" s="96">
        <f>AVERAGE($C15:$E15)</f>
        <v>0.33481802416562617</v>
      </c>
      <c r="K15" s="96">
        <f>AVERAGE($C15:$E15)</f>
        <v>0.33481802416562617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172</v>
      </c>
      <c r="C17" s="13">
        <f>'BS source'!J$12</f>
        <v>19659.759999999998</v>
      </c>
      <c r="D17" s="13">
        <f>'BS source'!K$12</f>
        <v>14737.47</v>
      </c>
      <c r="E17" s="13">
        <f>'BS source'!L$12</f>
        <v>17570.830000000002</v>
      </c>
      <c r="G17" s="27">
        <f>G18*'P&amp;L assumptions'!G9/360</f>
        <v>19679.329600000005</v>
      </c>
      <c r="H17" s="27">
        <f>H18*'P&amp;L assumptions'!H$9/360</f>
        <v>22040.849152000006</v>
      </c>
      <c r="I17" s="27">
        <f>I18*'P&amp;L assumptions'!I$9/360</f>
        <v>24685.751050240015</v>
      </c>
      <c r="J17" s="27">
        <f>J18*'P&amp;L assumptions'!J$9/360</f>
        <v>27648.041176268816</v>
      </c>
      <c r="K17" s="27">
        <f>K18*'P&amp;L assumptions'!K$9/360</f>
        <v>30965.806117421078</v>
      </c>
    </row>
    <row r="18" spans="2:11">
      <c r="B18" s="16" t="s">
        <v>218</v>
      </c>
      <c r="C18" s="16">
        <f>C17/'P&amp;L assumptions'!C$9*360</f>
        <v>283.94465466940113</v>
      </c>
      <c r="D18" s="16">
        <f>D17/'P&amp;L assumptions'!D$9*360</f>
        <v>198.33730532119267</v>
      </c>
      <c r="E18" s="16">
        <f>E17/'P&amp;L assumptions'!E$9*360</f>
        <v>178.15832336523408</v>
      </c>
      <c r="G18" s="39">
        <f>$E$18</f>
        <v>178.15832336523408</v>
      </c>
      <c r="H18" s="39">
        <f t="shared" ref="H18:K18" si="2">$E$18</f>
        <v>178.15832336523408</v>
      </c>
      <c r="I18" s="39">
        <f t="shared" si="2"/>
        <v>178.15832336523408</v>
      </c>
      <c r="J18" s="39">
        <f t="shared" si="2"/>
        <v>178.15832336523408</v>
      </c>
      <c r="K18" s="39">
        <f t="shared" si="2"/>
        <v>178.15832336523408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173</v>
      </c>
      <c r="C20" s="13">
        <f>'BS source'!J$13</f>
        <v>19563.73</v>
      </c>
      <c r="D20" s="13">
        <f>'BS source'!K$13</f>
        <v>22857.58</v>
      </c>
      <c r="E20" s="13">
        <f>'BS source'!L$13</f>
        <v>32495.29</v>
      </c>
      <c r="G20" s="27">
        <f>G21*'P&amp;L assumptions'!G$9</f>
        <v>33861.800790231369</v>
      </c>
      <c r="H20" s="27">
        <f>H21*'P&amp;L assumptions'!H$9</f>
        <v>37925.216885059141</v>
      </c>
      <c r="I20" s="27">
        <f>I21*'P&amp;L assumptions'!I$9</f>
        <v>42476.242911266236</v>
      </c>
      <c r="J20" s="27">
        <f>J21*'P&amp;L assumptions'!J$9</f>
        <v>47573.392060618193</v>
      </c>
      <c r="K20" s="27">
        <f>K21*'P&amp;L assumptions'!K$9</f>
        <v>53282.199107892382</v>
      </c>
    </row>
    <row r="21" spans="2:11">
      <c r="B21" s="16" t="s">
        <v>40</v>
      </c>
      <c r="C21" s="38">
        <f>C20/'P&amp;L assumptions'!C$9</f>
        <v>0.78488249869211191</v>
      </c>
      <c r="D21" s="38">
        <f>D20/'P&amp;L assumptions'!D$9</f>
        <v>0.85449440239433294</v>
      </c>
      <c r="E21" s="38">
        <f>E20/'P&amp;L assumptions'!E$9</f>
        <v>0.91523318029355361</v>
      </c>
      <c r="G21" s="96">
        <f>AVERAGE($C21:$E21)</f>
        <v>0.85153669379333286</v>
      </c>
      <c r="H21" s="96">
        <f>AVERAGE($C21:$E21)</f>
        <v>0.85153669379333286</v>
      </c>
      <c r="I21" s="96">
        <f>AVERAGE($C21:$E21)</f>
        <v>0.85153669379333286</v>
      </c>
      <c r="J21" s="96">
        <f>AVERAGE($C21:$E21)</f>
        <v>0.85153669379333286</v>
      </c>
      <c r="K21" s="96">
        <f>AVERAGE($C21:$E21)</f>
        <v>0.85153669379333286</v>
      </c>
    </row>
    <row r="22" spans="2:11">
      <c r="G22" s="20"/>
      <c r="H22" s="20"/>
      <c r="I22" s="20"/>
      <c r="J22" s="20"/>
      <c r="K22" s="20"/>
    </row>
    <row r="23" spans="2:11">
      <c r="B23" s="7" t="s">
        <v>192</v>
      </c>
      <c r="C23" s="13">
        <f>'BS source'!D$17</f>
        <v>22688.26</v>
      </c>
      <c r="D23" s="13">
        <f>'BS source'!E$17</f>
        <v>21493.52</v>
      </c>
      <c r="E23" s="13">
        <f>'BS source'!F$17</f>
        <v>21340.22</v>
      </c>
      <c r="G23" s="27">
        <f>G24*'P&amp;L assumptions'!G$9</f>
        <v>30682.904411873391</v>
      </c>
      <c r="H23" s="27">
        <f>H24*'P&amp;L assumptions'!H$9</f>
        <v>34364.852941298202</v>
      </c>
      <c r="I23" s="27">
        <f>I24*'P&amp;L assumptions'!I$9</f>
        <v>38488.635294253989</v>
      </c>
      <c r="J23" s="27">
        <f>J24*'P&amp;L assumptions'!J$9</f>
        <v>43107.271529564474</v>
      </c>
      <c r="K23" s="27">
        <f>K24*'P&amp;L assumptions'!K$9</f>
        <v>48280.144113112219</v>
      </c>
    </row>
    <row r="24" spans="2:11">
      <c r="B24" s="16" t="s">
        <v>40</v>
      </c>
      <c r="C24" s="38">
        <f>C23/'P&amp;L assumptions'!C$9</f>
        <v>0.91023635062313235</v>
      </c>
      <c r="D24" s="38">
        <f>D23/'P&amp;L assumptions'!D$9</f>
        <v>0.80350118112900148</v>
      </c>
      <c r="E24" s="38">
        <f>E23/'P&amp;L assumptions'!E$9</f>
        <v>0.60104948805701075</v>
      </c>
      <c r="G24" s="96">
        <f>AVERAGE($C24:$E24)</f>
        <v>0.77159567326971479</v>
      </c>
      <c r="H24" s="96">
        <f>AVERAGE($C24:$E24)</f>
        <v>0.77159567326971479</v>
      </c>
      <c r="I24" s="96">
        <f>AVERAGE($C24:$E24)</f>
        <v>0.77159567326971479</v>
      </c>
      <c r="J24" s="96">
        <f>AVERAGE($C24:$E24)</f>
        <v>0.77159567326971479</v>
      </c>
      <c r="K24" s="96">
        <f>AVERAGE($C24:$E24)</f>
        <v>0.77159567326971479</v>
      </c>
    </row>
    <row r="25" spans="2:11">
      <c r="G25" s="20"/>
      <c r="H25" s="20"/>
      <c r="I25" s="20"/>
      <c r="J25" s="20"/>
      <c r="K25" s="20"/>
    </row>
    <row r="26" spans="2:11">
      <c r="B26" s="7" t="s">
        <v>220</v>
      </c>
      <c r="C26" s="13">
        <f>'BS source'!J$23</f>
        <v>3216.6400000000003</v>
      </c>
      <c r="D26" s="13">
        <f>'BS source'!K$23</f>
        <v>2700.61</v>
      </c>
      <c r="E26" s="13">
        <f>'BS source'!L$23</f>
        <v>4399.7300000000005</v>
      </c>
      <c r="G26" s="98">
        <f>G27*'P&amp;L assumptions'!G$9</f>
        <v>4691.3521197573828</v>
      </c>
      <c r="H26" s="98">
        <f>H27*'P&amp;L assumptions'!H$9</f>
        <v>5254.3143741282693</v>
      </c>
      <c r="I26" s="98">
        <f>I27*'P&amp;L assumptions'!I$9</f>
        <v>5884.8320990236616</v>
      </c>
      <c r="J26" s="98">
        <f>J27*'P&amp;L assumptions'!J$9</f>
        <v>6591.0119509065016</v>
      </c>
      <c r="K26" s="98">
        <f>K27*'P&amp;L assumptions'!K$9</f>
        <v>7381.9333850152834</v>
      </c>
    </row>
    <row r="27" spans="2:11">
      <c r="B27" s="16" t="s">
        <v>40</v>
      </c>
      <c r="C27" s="95">
        <f>C26/'P&amp;L assumptions'!C$9</f>
        <v>0.12904923757345838</v>
      </c>
      <c r="D27" s="95">
        <f>D26/'P&amp;L assumptions'!D$9</f>
        <v>0.10095802477997057</v>
      </c>
      <c r="E27" s="95">
        <f>E26/'P&amp;L assumptions'!E$9</f>
        <v>0.12391884732627273</v>
      </c>
      <c r="G27" s="97">
        <f>AVERAGE($C27:$E27)</f>
        <v>0.11797536989323389</v>
      </c>
      <c r="H27" s="97">
        <f t="shared" ref="H27:K27" si="3">AVERAGE($C27:$E27)</f>
        <v>0.11797536989323389</v>
      </c>
      <c r="I27" s="97">
        <f t="shared" si="3"/>
        <v>0.11797536989323389</v>
      </c>
      <c r="J27" s="97">
        <f t="shared" si="3"/>
        <v>0.11797536989323389</v>
      </c>
      <c r="K27" s="97">
        <f t="shared" si="3"/>
        <v>0.11797536989323389</v>
      </c>
    </row>
    <row r="28" spans="2:11">
      <c r="G28" s="20"/>
      <c r="H28" s="20"/>
      <c r="I28" s="20"/>
      <c r="J28" s="20"/>
      <c r="K28" s="20"/>
    </row>
    <row r="29" spans="2:11">
      <c r="B29" s="7" t="s">
        <v>210</v>
      </c>
      <c r="C29" s="13">
        <f>'BS source'!J$18</f>
        <v>14497.91</v>
      </c>
      <c r="D29" s="13">
        <f>'BS source'!K$18</f>
        <v>12270.56</v>
      </c>
      <c r="E29" s="13">
        <f>'BS source'!L$18</f>
        <v>9686.48</v>
      </c>
      <c r="G29" s="98">
        <f>G30*'P&amp;L assumptions'!G$9</f>
        <v>17406.451200730044</v>
      </c>
      <c r="H29" s="98">
        <f>H30*'P&amp;L assumptions'!H$9</f>
        <v>19495.225344817649</v>
      </c>
      <c r="I29" s="98">
        <f>I30*'P&amp;L assumptions'!I$9</f>
        <v>21834.652386195768</v>
      </c>
      <c r="J29" s="98">
        <f>J30*'P&amp;L assumptions'!J$9</f>
        <v>24454.810672539264</v>
      </c>
      <c r="K29" s="98">
        <f>K30*'P&amp;L assumptions'!K$9</f>
        <v>27389.387953243982</v>
      </c>
    </row>
    <row r="30" spans="2:11">
      <c r="B30" s="16" t="s">
        <v>40</v>
      </c>
      <c r="C30" s="95">
        <f>C29/'P&amp;L assumptions'!C$9</f>
        <v>0.58164551578933854</v>
      </c>
      <c r="D30" s="95">
        <f>D29/'P&amp;L assumptions'!D$9</f>
        <v>0.45871543856540392</v>
      </c>
      <c r="E30" s="95">
        <f>E29/'P&amp;L assumptions'!E$9</f>
        <v>0.27282070405433834</v>
      </c>
      <c r="G30" s="97">
        <f>AVERAGE($C30:$E30)</f>
        <v>0.43772721946969356</v>
      </c>
      <c r="H30" s="97">
        <f t="shared" ref="H30:K30" si="4">AVERAGE($C30:$E30)</f>
        <v>0.43772721946969356</v>
      </c>
      <c r="I30" s="97">
        <f t="shared" si="4"/>
        <v>0.43772721946969356</v>
      </c>
      <c r="J30" s="97">
        <f t="shared" si="4"/>
        <v>0.43772721946969356</v>
      </c>
      <c r="K30" s="97">
        <f t="shared" si="4"/>
        <v>0.43772721946969356</v>
      </c>
    </row>
    <row r="31" spans="2:11">
      <c r="G31" s="20"/>
      <c r="H31" s="20"/>
      <c r="I31" s="20"/>
      <c r="J31" s="20"/>
      <c r="K31" s="20"/>
    </row>
    <row r="32" spans="2:11">
      <c r="B32" s="7" t="s">
        <v>202</v>
      </c>
      <c r="C32" s="13">
        <f>'BS source'!D$11</f>
        <v>9081.0300000000007</v>
      </c>
      <c r="D32" s="13">
        <f>'BS source'!E$11</f>
        <v>8474.48</v>
      </c>
      <c r="E32" s="13">
        <f>'BS source'!F$11</f>
        <v>7945.1</v>
      </c>
      <c r="G32" s="98">
        <f>G33*'P&amp;L assumptions'!G$9</f>
        <v>11994.657528600321</v>
      </c>
      <c r="H32" s="98">
        <f>H33*'P&amp;L assumptions'!H$9</f>
        <v>13434.01643203236</v>
      </c>
      <c r="I32" s="98">
        <f>I33*'P&amp;L assumptions'!I$9</f>
        <v>15046.098403876245</v>
      </c>
      <c r="J32" s="98">
        <f>J33*'P&amp;L assumptions'!J$9</f>
        <v>16851.630212341395</v>
      </c>
      <c r="K32" s="98">
        <f>K33*'P&amp;L assumptions'!K$9</f>
        <v>18873.825837822365</v>
      </c>
    </row>
    <row r="33" spans="2:11">
      <c r="B33" s="16" t="s">
        <v>40</v>
      </c>
      <c r="C33" s="95">
        <f>C32/'P&amp;L assumptions'!C$9</f>
        <v>0.36432426316955047</v>
      </c>
      <c r="D33" s="95">
        <f>D32/'P&amp;L assumptions'!D$9</f>
        <v>0.31680500399441786</v>
      </c>
      <c r="E33" s="95">
        <f>E32/'P&amp;L assumptions'!E$9</f>
        <v>0.22377455750511269</v>
      </c>
      <c r="G33" s="97">
        <f>AVERAGE($C33:$E33)</f>
        <v>0.30163460822302701</v>
      </c>
      <c r="H33" s="97">
        <f t="shared" ref="H33:K33" si="5">AVERAGE($C33:$E33)</f>
        <v>0.30163460822302701</v>
      </c>
      <c r="I33" s="97">
        <f t="shared" si="5"/>
        <v>0.30163460822302701</v>
      </c>
      <c r="J33" s="97">
        <f t="shared" si="5"/>
        <v>0.30163460822302701</v>
      </c>
      <c r="K33" s="97">
        <f t="shared" si="5"/>
        <v>0.30163460822302701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4"/>
  <sheetViews>
    <sheetView zoomScale="130" zoomScaleNormal="130" workbookViewId="0">
      <selection activeCell="B15" sqref="B15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7</v>
      </c>
    </row>
    <row r="13" spans="2:2">
      <c r="B13" s="1" t="s">
        <v>244</v>
      </c>
    </row>
    <row r="14" spans="2:2">
      <c r="B14" s="1" t="s">
        <v>0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33"/>
  <sheetViews>
    <sheetView zoomScale="130" zoomScaleNormal="130" workbookViewId="0">
      <selection activeCell="E9" sqref="E9"/>
    </sheetView>
  </sheetViews>
  <sheetFormatPr baseColWidth="10" defaultColWidth="9.1640625" defaultRowHeight="12"/>
  <cols>
    <col min="1" max="1" width="2" style="7" customWidth="1"/>
    <col min="2" max="2" width="30.6640625" style="7" bestFit="1" customWidth="1"/>
    <col min="3" max="3" width="10.5" style="7" bestFit="1" customWidth="1"/>
    <col min="4" max="4" width="9.1640625" style="7" customWidth="1"/>
    <col min="5" max="5" width="10.5" style="7" bestFit="1" customWidth="1"/>
    <col min="6" max="6" width="2" style="7" customWidth="1"/>
    <col min="7" max="7" width="10.5" style="7" bestFit="1" customWidth="1"/>
    <col min="8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8</v>
      </c>
    </row>
    <row r="2" spans="2:13">
      <c r="B2" s="7" t="s">
        <v>153</v>
      </c>
    </row>
    <row r="3" spans="2:13" ht="24.5" customHeight="1" thickBot="1">
      <c r="B3" s="17" t="s">
        <v>154</v>
      </c>
      <c r="C3" s="18" t="s">
        <v>111</v>
      </c>
      <c r="D3" s="18" t="s">
        <v>110</v>
      </c>
      <c r="E3" s="18" t="s">
        <v>109</v>
      </c>
      <c r="F3" s="21"/>
      <c r="G3" s="19" t="s">
        <v>112</v>
      </c>
      <c r="H3" s="19" t="s">
        <v>113</v>
      </c>
      <c r="I3" s="19" t="s">
        <v>114</v>
      </c>
      <c r="J3" s="19" t="s">
        <v>115</v>
      </c>
      <c r="K3" s="19" t="s">
        <v>116</v>
      </c>
      <c r="M3" s="22" t="s">
        <v>42</v>
      </c>
    </row>
    <row r="4" spans="2:13" ht="12" customHeight="1">
      <c r="B4" s="49" t="s">
        <v>29</v>
      </c>
      <c r="C4" s="13">
        <f>SUMIF('P&amp;L assumptions'!$B:$B,$B$4,'P&amp;L assumptions'!C:C)</f>
        <v>24925.68</v>
      </c>
      <c r="D4" s="13">
        <f>SUMIF('P&amp;L assumptions'!$B:$B,$B$4,'P&amp;L assumptions'!D:D)</f>
        <v>26749.83</v>
      </c>
      <c r="E4" s="47">
        <f>SUMIF('P&amp;L assumptions'!$B:$B,$B$4,'P&amp;L assumptions'!E:E)</f>
        <v>35504.93</v>
      </c>
      <c r="F4" s="13">
        <f>SUMIF('P&amp;L assumptions'!$B:$B,$B$4,'P&amp;L assumptions'!F:F)</f>
        <v>0</v>
      </c>
      <c r="G4" s="27">
        <f>SUMIF('P&amp;L assumptions'!$B:$B,$B$4,'P&amp;L assumptions'!G:G)</f>
        <v>39765.521600000007</v>
      </c>
      <c r="H4" s="27">
        <f>SUMIF('P&amp;L assumptions'!$B:$B,$B$4,'P&amp;L assumptions'!H:H)</f>
        <v>44537.384192000012</v>
      </c>
      <c r="I4" s="27">
        <f>SUMIF('P&amp;L assumptions'!$B:$B,$B$4,'P&amp;L assumptions'!I:I)</f>
        <v>49881.870295040018</v>
      </c>
      <c r="J4" s="27">
        <f>SUMIF('P&amp;L assumptions'!$B:$B,$B$4,'P&amp;L assumptions'!J:J)</f>
        <v>55867.694730444826</v>
      </c>
      <c r="K4" s="27">
        <f>SUMIF('P&amp;L assumptions'!$B:$B,$B$4,'P&amp;L assumptions'!K:K)</f>
        <v>62571.818098098214</v>
      </c>
    </row>
    <row r="5" spans="2:13" ht="3.75" customHeight="1">
      <c r="B5" s="23"/>
      <c r="C5" s="34"/>
      <c r="D5" s="34"/>
      <c r="E5" s="34"/>
      <c r="F5" s="54"/>
      <c r="G5" s="27"/>
      <c r="H5" s="27"/>
      <c r="I5" s="27"/>
      <c r="J5" s="27"/>
      <c r="K5" s="27"/>
    </row>
    <row r="6" spans="2:13">
      <c r="B6" s="7" t="s">
        <v>142</v>
      </c>
      <c r="C6" s="13">
        <f>SUMIF('P&amp;L assumptions'!$B:$B,'P&amp;L'!$B6,'P&amp;L assumptions'!C:C)</f>
        <v>-12338.36</v>
      </c>
      <c r="D6" s="13">
        <f>SUMIF('P&amp;L assumptions'!$B:$B,'P&amp;L'!$B6,'P&amp;L assumptions'!D:D)</f>
        <v>-9884.5</v>
      </c>
      <c r="E6" s="13">
        <f>SUMIF('P&amp;L assumptions'!$B:$B,'P&amp;L'!$B6,'P&amp;L assumptions'!E:E)</f>
        <v>-15124.359999999999</v>
      </c>
      <c r="F6" s="13">
        <f>SUMIF('P&amp;L assumptions'!$B:$B,'P&amp;L'!$B6,'P&amp;L assumptions'!F:F)</f>
        <v>0</v>
      </c>
      <c r="G6" s="27">
        <f>SUMIF('P&amp;L assumptions'!$B:$B,'P&amp;L'!$B6,'P&amp;L assumptions'!G:G)</f>
        <v>-17099.174288000002</v>
      </c>
      <c r="H6" s="27">
        <f>SUMIF('P&amp;L assumptions'!$B:$B,'P&amp;L'!$B6,'P&amp;L assumptions'!H:H)</f>
        <v>-19151.075202560005</v>
      </c>
      <c r="I6" s="27">
        <f>SUMIF('P&amp;L assumptions'!$B:$B,'P&amp;L'!$B6,'P&amp;L assumptions'!I:I)</f>
        <v>-21449.204226867208</v>
      </c>
      <c r="J6" s="27">
        <f>SUMIF('P&amp;L assumptions'!$B:$B,'P&amp;L'!$B6,'P&amp;L assumptions'!J:J)</f>
        <v>-24023.108734091275</v>
      </c>
      <c r="K6" s="27">
        <f>SUMIF('P&amp;L assumptions'!$B:$B,'P&amp;L'!$B6,'P&amp;L assumptions'!K:K)</f>
        <v>-26905.88178218223</v>
      </c>
    </row>
    <row r="7" spans="2:13" ht="12" customHeight="1">
      <c r="B7" s="49" t="s">
        <v>43</v>
      </c>
      <c r="C7" s="50">
        <f>C4+C6</f>
        <v>12587.32</v>
      </c>
      <c r="D7" s="50">
        <f t="shared" ref="D7:K7" si="0">D4+D6</f>
        <v>16865.330000000002</v>
      </c>
      <c r="E7" s="50">
        <f t="shared" si="0"/>
        <v>20380.57</v>
      </c>
      <c r="F7" s="50">
        <f t="shared" si="0"/>
        <v>0</v>
      </c>
      <c r="G7" s="71">
        <f t="shared" si="0"/>
        <v>22666.347312000005</v>
      </c>
      <c r="H7" s="71">
        <f t="shared" si="0"/>
        <v>25386.308989440007</v>
      </c>
      <c r="I7" s="71">
        <f t="shared" si="0"/>
        <v>28432.66606817281</v>
      </c>
      <c r="J7" s="71">
        <f t="shared" si="0"/>
        <v>31844.585996353551</v>
      </c>
      <c r="K7" s="71">
        <f t="shared" si="0"/>
        <v>35665.936315915984</v>
      </c>
    </row>
    <row r="8" spans="2:13" ht="3.75" customHeight="1">
      <c r="G8" s="27"/>
      <c r="H8" s="27"/>
      <c r="I8" s="27"/>
      <c r="J8" s="27"/>
      <c r="K8" s="27"/>
    </row>
    <row r="9" spans="2:13">
      <c r="B9" s="7" t="s">
        <v>223</v>
      </c>
      <c r="C9" s="13">
        <f>SUMIF('P&amp;L assumptions'!$B:$B,'P&amp;L'!$B9,'P&amp;L assumptions'!C:C)</f>
        <v>-3261.9500000000003</v>
      </c>
      <c r="D9" s="13">
        <f>SUMIF('P&amp;L assumptions'!$B:$B,'P&amp;L'!$B9,'P&amp;L assumptions'!D:D)</f>
        <v>-2460.7800000000002</v>
      </c>
      <c r="E9" s="13">
        <f>SUMIF('P&amp;L assumptions'!$B:$B,'P&amp;L'!$B9,'P&amp;L assumptions'!E:E)</f>
        <v>-2817.5</v>
      </c>
      <c r="F9" s="13">
        <f>SUMIF('P&amp;L assumptions'!$B:$B,'P&amp;L'!$B9,'P&amp;L assumptions'!F:F)</f>
        <v>0</v>
      </c>
      <c r="G9" s="27">
        <f>SUMIF('P&amp;L assumptions'!$B:$B,'P&amp;L'!$B9,'P&amp;L assumptions'!G:G)</f>
        <v>-2783.5865120000008</v>
      </c>
      <c r="H9" s="27">
        <f>SUMIF('P&amp;L assumptions'!$B:$B,'P&amp;L'!$B9,'P&amp;L assumptions'!H:H)</f>
        <v>-3117.6168934400011</v>
      </c>
      <c r="I9" s="27">
        <f>SUMIF('P&amp;L assumptions'!$B:$B,'P&amp;L'!$B9,'P&amp;L assumptions'!I:I)</f>
        <v>-3491.7309206528016</v>
      </c>
      <c r="J9" s="27">
        <f>SUMIF('P&amp;L assumptions'!$B:$B,'P&amp;L'!$B9,'P&amp;L assumptions'!J:J)</f>
        <v>-3910.7386311311384</v>
      </c>
      <c r="K9" s="27">
        <f>SUMIF('P&amp;L assumptions'!$B:$B,'P&amp;L'!$B9,'P&amp;L assumptions'!K:K)</f>
        <v>-4380.0272668668758</v>
      </c>
    </row>
    <row r="10" spans="2:13" ht="12" customHeight="1">
      <c r="B10" s="49" t="s">
        <v>44</v>
      </c>
      <c r="C10" s="50">
        <f>C7+C9</f>
        <v>9325.369999999999</v>
      </c>
      <c r="D10" s="50">
        <f t="shared" ref="D10:K10" si="1">D7+D9</f>
        <v>14404.550000000001</v>
      </c>
      <c r="E10" s="50">
        <f t="shared" si="1"/>
        <v>17563.07</v>
      </c>
      <c r="F10" s="51">
        <f t="shared" si="1"/>
        <v>0</v>
      </c>
      <c r="G10" s="71">
        <f t="shared" si="1"/>
        <v>19882.760800000004</v>
      </c>
      <c r="H10" s="71">
        <f t="shared" si="1"/>
        <v>22268.692096000006</v>
      </c>
      <c r="I10" s="71">
        <f t="shared" si="1"/>
        <v>24940.935147520009</v>
      </c>
      <c r="J10" s="71">
        <f t="shared" si="1"/>
        <v>27933.847365222413</v>
      </c>
      <c r="K10" s="71">
        <f t="shared" si="1"/>
        <v>31285.909049049107</v>
      </c>
    </row>
    <row r="11" spans="2:13" ht="3.75" customHeight="1">
      <c r="C11" s="13"/>
      <c r="D11" s="13"/>
      <c r="E11" s="13"/>
      <c r="F11" s="13"/>
      <c r="G11" s="27"/>
      <c r="H11" s="27"/>
      <c r="I11" s="27"/>
      <c r="J11" s="27"/>
      <c r="K11" s="27"/>
    </row>
    <row r="12" spans="2:13">
      <c r="B12" s="7" t="s">
        <v>36</v>
      </c>
      <c r="C12" s="13">
        <f>SUMIF('P&amp;L assumptions'!$B:$B,'P&amp;L'!$B12,'P&amp;L assumptions'!C:C)</f>
        <v>-1269.17</v>
      </c>
      <c r="D12" s="13">
        <f>SUMIF('P&amp;L assumptions'!$B:$B,'P&amp;L'!$B12,'P&amp;L assumptions'!D:D)</f>
        <v>-1396.76</v>
      </c>
      <c r="E12" s="13">
        <f>SUMIF('P&amp;L assumptions'!$B:$B,'P&amp;L'!$B12,'P&amp;L assumptions'!E:E)</f>
        <v>-1426.72</v>
      </c>
      <c r="F12" s="13"/>
      <c r="G12" s="27">
        <f>SUMIF('P&amp;L assumptions'!$B:$B,'P&amp;L'!$B12,'P&amp;L assumptions'!G:G)</f>
        <v>-1511.0898208000003</v>
      </c>
      <c r="H12" s="27">
        <f>SUMIF('P&amp;L assumptions'!$B:$B,'P&amp;L'!$B12,'P&amp;L assumptions'!H:H)</f>
        <v>-1692.4205992960003</v>
      </c>
      <c r="I12" s="27">
        <f>SUMIF('P&amp;L assumptions'!$B:$B,'P&amp;L'!$B12,'P&amp;L assumptions'!I:I)</f>
        <v>-1895.5110712115206</v>
      </c>
      <c r="J12" s="27">
        <f>SUMIF('P&amp;L assumptions'!$B:$B,'P&amp;L'!$B12,'P&amp;L assumptions'!J:J)</f>
        <v>-2122.9723997569035</v>
      </c>
      <c r="K12" s="27">
        <f>SUMIF('P&amp;L assumptions'!$B:$B,'P&amp;L'!$B12,'P&amp;L assumptions'!K:K)</f>
        <v>-2377.7290877277319</v>
      </c>
    </row>
    <row r="13" spans="2:13" ht="12" customHeight="1">
      <c r="B13" s="49" t="s">
        <v>45</v>
      </c>
      <c r="C13" s="50">
        <f t="shared" ref="C13:K13" si="2">C10+C12</f>
        <v>8056.1999999999989</v>
      </c>
      <c r="D13" s="50">
        <f t="shared" si="2"/>
        <v>13007.79</v>
      </c>
      <c r="E13" s="50">
        <f t="shared" si="2"/>
        <v>16136.35</v>
      </c>
      <c r="F13" s="51">
        <f t="shared" si="2"/>
        <v>0</v>
      </c>
      <c r="G13" s="71">
        <f t="shared" si="2"/>
        <v>18371.670979200004</v>
      </c>
      <c r="H13" s="71">
        <f t="shared" si="2"/>
        <v>20576.271496704005</v>
      </c>
      <c r="I13" s="71">
        <f t="shared" si="2"/>
        <v>23045.424076308489</v>
      </c>
      <c r="J13" s="71">
        <f t="shared" si="2"/>
        <v>25810.874965465511</v>
      </c>
      <c r="K13" s="71">
        <f t="shared" si="2"/>
        <v>28908.179961321373</v>
      </c>
    </row>
    <row r="14" spans="2:13" ht="3.75" customHeight="1">
      <c r="B14" s="23"/>
      <c r="C14" s="29"/>
      <c r="D14" s="29"/>
      <c r="E14" s="29"/>
      <c r="F14" s="29"/>
      <c r="G14" s="27"/>
      <c r="H14" s="27"/>
      <c r="I14" s="27"/>
      <c r="J14" s="27"/>
      <c r="K14" s="27"/>
    </row>
    <row r="15" spans="2:13" ht="12" customHeight="1">
      <c r="B15" s="7" t="s">
        <v>224</v>
      </c>
      <c r="C15" s="13">
        <f>SUMIF('P&amp;L assumptions'!$B:$B,'P&amp;L'!$B15,'P&amp;L assumptions'!C:C)</f>
        <v>-981.39</v>
      </c>
      <c r="D15" s="13">
        <f>SUMIF('P&amp;L assumptions'!$B:$B,'P&amp;L'!$B15,'P&amp;L assumptions'!D:D)</f>
        <v>-1039.47</v>
      </c>
      <c r="E15" s="13">
        <f>SUMIF('P&amp;L assumptions'!$B:$B,'P&amp;L'!$B15,'P&amp;L assumptions'!E:E)</f>
        <v>-940.91</v>
      </c>
      <c r="F15" s="13">
        <f>SUMIF('P&amp;L assumptions'!$B:$B,'P&amp;L'!$B15,'P&amp;L assumptions'!F:F)</f>
        <v>0</v>
      </c>
      <c r="G15" s="27">
        <f>SUMIF('P&amp;L assumptions'!$B:$B,'P&amp;L'!$B15,'P&amp;L assumptions'!G:G)</f>
        <v>-940.91</v>
      </c>
      <c r="H15" s="27">
        <f>SUMIF('P&amp;L assumptions'!$B:$B,'P&amp;L'!$B15,'P&amp;L assumptions'!H:H)</f>
        <v>-940.91</v>
      </c>
      <c r="I15" s="27">
        <f>SUMIF('P&amp;L assumptions'!$B:$B,'P&amp;L'!$B15,'P&amp;L assumptions'!I:I)</f>
        <v>-940.91</v>
      </c>
      <c r="J15" s="27">
        <f>SUMIF('P&amp;L assumptions'!$B:$B,'P&amp;L'!$B15,'P&amp;L assumptions'!J:J)</f>
        <v>-940.91</v>
      </c>
      <c r="K15" s="27">
        <f>SUMIF('P&amp;L assumptions'!$B:$B,'P&amp;L'!$B15,'P&amp;L assumptions'!K:K)</f>
        <v>-940.91</v>
      </c>
    </row>
    <row r="16" spans="2:13" ht="12" customHeight="1">
      <c r="B16" s="7" t="s">
        <v>222</v>
      </c>
      <c r="C16" s="13">
        <f>SUMIF('P&amp;L assumptions'!$B:$B,'P&amp;L'!$B16,'P&amp;L assumptions'!C:C)</f>
        <v>1402.21</v>
      </c>
      <c r="D16" s="13">
        <f>SUMIF('P&amp;L assumptions'!$B:$B,'P&amp;L'!$B16,'P&amp;L assumptions'!D:D)</f>
        <v>3093.2499999999991</v>
      </c>
      <c r="E16" s="13">
        <f>SUMIF('P&amp;L assumptions'!$B:$B,'P&amp;L'!$B16,'P&amp;L assumptions'!E:E)</f>
        <v>3704.3699999999994</v>
      </c>
      <c r="F16" s="13">
        <f>SUMIF('P&amp;L assumptions'!$B:$B,'P&amp;L'!$B16,'P&amp;L assumptions'!F:F)</f>
        <v>0</v>
      </c>
      <c r="G16" s="27">
        <f>SUMIF('P&amp;L assumptions'!$B:$B,'P&amp;L'!$B16,'P&amp;L assumptions'!G:G)</f>
        <v>8350.7595360000014</v>
      </c>
      <c r="H16" s="27">
        <f>SUMIF('P&amp;L assumptions'!$B:$B,'P&amp;L'!$B16,'P&amp;L assumptions'!H:H)</f>
        <v>9352.8506803200016</v>
      </c>
      <c r="I16" s="27">
        <f>SUMIF('P&amp;L assumptions'!$B:$B,'P&amp;L'!$B16,'P&amp;L assumptions'!I:I)</f>
        <v>10475.192761958404</v>
      </c>
      <c r="J16" s="27">
        <f>SUMIF('P&amp;L assumptions'!$B:$B,'P&amp;L'!$B16,'P&amp;L assumptions'!J:J)</f>
        <v>11732.215893393413</v>
      </c>
      <c r="K16" s="27">
        <f>SUMIF('P&amp;L assumptions'!$B:$B,'P&amp;L'!$B16,'P&amp;L assumptions'!K:K)</f>
        <v>13140.081800600625</v>
      </c>
    </row>
    <row r="17" spans="2:11" ht="12" customHeight="1">
      <c r="B17" s="49" t="s">
        <v>46</v>
      </c>
      <c r="C17" s="50">
        <f>C13+C15+C16</f>
        <v>8477.0199999999986</v>
      </c>
      <c r="D17" s="50">
        <f t="shared" ref="D17:K17" si="3">D13+D15+D16</f>
        <v>15061.57</v>
      </c>
      <c r="E17" s="50">
        <f t="shared" si="3"/>
        <v>18899.810000000001</v>
      </c>
      <c r="F17" s="51">
        <f t="shared" si="3"/>
        <v>0</v>
      </c>
      <c r="G17" s="71">
        <f t="shared" si="3"/>
        <v>25781.520515200005</v>
      </c>
      <c r="H17" s="71">
        <f t="shared" si="3"/>
        <v>28988.212177024005</v>
      </c>
      <c r="I17" s="71">
        <f t="shared" si="3"/>
        <v>32579.706838266895</v>
      </c>
      <c r="J17" s="71">
        <f t="shared" si="3"/>
        <v>36602.180858858927</v>
      </c>
      <c r="K17" s="71">
        <f t="shared" si="3"/>
        <v>41107.351761922</v>
      </c>
    </row>
    <row r="18" spans="2:11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1">
      <c r="B19" s="7" t="s">
        <v>47</v>
      </c>
      <c r="C19" s="24">
        <f>C20/C17</f>
        <v>-3.9891376922550625E-2</v>
      </c>
      <c r="D19" s="24">
        <f>D20/D17</f>
        <v>-1.5430662274915564E-2</v>
      </c>
      <c r="E19" s="24">
        <f>E20/E17</f>
        <v>-7.6757914497553148E-2</v>
      </c>
      <c r="F19" s="13"/>
      <c r="G19" s="26">
        <f>'P&amp;L assumptions'!G46</f>
        <v>-0.09</v>
      </c>
      <c r="H19" s="26">
        <f>'P&amp;L assumptions'!H46</f>
        <v>-0.09</v>
      </c>
      <c r="I19" s="26">
        <f>'P&amp;L assumptions'!I46</f>
        <v>-0.09</v>
      </c>
      <c r="J19" s="26">
        <f>'P&amp;L assumptions'!J46</f>
        <v>-0.09</v>
      </c>
      <c r="K19" s="26">
        <f>'P&amp;L assumptions'!K46</f>
        <v>-0.09</v>
      </c>
    </row>
    <row r="20" spans="2:11">
      <c r="B20" s="7" t="s">
        <v>37</v>
      </c>
      <c r="C20" s="13">
        <f>'P&amp;L assumptions'!C45</f>
        <v>-338.16</v>
      </c>
      <c r="D20" s="13">
        <f>'P&amp;L assumptions'!D45</f>
        <v>-232.41</v>
      </c>
      <c r="E20" s="13">
        <f>'P&amp;L assumptions'!E45</f>
        <v>-1450.71</v>
      </c>
      <c r="F20" s="13">
        <f>'P&amp;L assumptions'!F45</f>
        <v>0</v>
      </c>
      <c r="G20" s="27">
        <f>G17*G19</f>
        <v>-2320.3368463680004</v>
      </c>
      <c r="H20" s="27">
        <f t="shared" ref="H20:K20" si="4">H17*H19</f>
        <v>-2608.9390959321604</v>
      </c>
      <c r="I20" s="27">
        <f t="shared" si="4"/>
        <v>-2932.1736154440205</v>
      </c>
      <c r="J20" s="27">
        <f t="shared" si="4"/>
        <v>-3294.1962772973034</v>
      </c>
      <c r="K20" s="27">
        <f t="shared" si="4"/>
        <v>-3699.6616585729798</v>
      </c>
    </row>
    <row r="21" spans="2:11" ht="3.75" customHeight="1">
      <c r="C21" s="13"/>
      <c r="D21" s="13"/>
      <c r="E21" s="13"/>
      <c r="F21" s="13"/>
      <c r="G21" s="20"/>
      <c r="H21" s="20"/>
      <c r="I21" s="20"/>
      <c r="J21" s="20"/>
      <c r="K21" s="20"/>
    </row>
    <row r="22" spans="2:11" ht="12" customHeight="1">
      <c r="B22" s="52" t="s">
        <v>48</v>
      </c>
      <c r="C22" s="53">
        <f t="shared" ref="C22:K22" si="5">C17+C20</f>
        <v>8138.8599999999988</v>
      </c>
      <c r="D22" s="53">
        <f t="shared" si="5"/>
        <v>14829.16</v>
      </c>
      <c r="E22" s="53">
        <f t="shared" si="5"/>
        <v>17449.100000000002</v>
      </c>
      <c r="F22" s="53">
        <f t="shared" si="5"/>
        <v>0</v>
      </c>
      <c r="G22" s="53">
        <f t="shared" si="5"/>
        <v>23461.183668832004</v>
      </c>
      <c r="H22" s="53">
        <f t="shared" si="5"/>
        <v>26379.273081091844</v>
      </c>
      <c r="I22" s="53">
        <f t="shared" si="5"/>
        <v>29647.533222822873</v>
      </c>
      <c r="J22" s="53">
        <f t="shared" si="5"/>
        <v>33307.984581561621</v>
      </c>
      <c r="K22" s="53">
        <f t="shared" si="5"/>
        <v>37407.690103349021</v>
      </c>
    </row>
    <row r="23" spans="2:11">
      <c r="C23" s="13"/>
      <c r="D23" s="13"/>
      <c r="E23" s="13"/>
      <c r="F23" s="13"/>
    </row>
    <row r="24" spans="2:11">
      <c r="C24" s="13"/>
      <c r="D24" s="13"/>
      <c r="E24" s="13"/>
      <c r="F24" s="13"/>
    </row>
    <row r="25" spans="2:11">
      <c r="C25" s="13"/>
      <c r="D25" s="13"/>
      <c r="E25" s="13"/>
      <c r="F25" s="13"/>
    </row>
    <row r="26" spans="2:11">
      <c r="C26" s="13"/>
      <c r="D26" s="110"/>
      <c r="E26" s="13"/>
      <c r="F26" s="13"/>
    </row>
    <row r="27" spans="2:11">
      <c r="D27" s="110"/>
    </row>
    <row r="29" spans="2:11">
      <c r="D29" s="110"/>
    </row>
    <row r="30" spans="2:11">
      <c r="D30" s="110"/>
    </row>
    <row r="32" spans="2:11">
      <c r="D32" s="110"/>
    </row>
    <row r="33" spans="4:4">
      <c r="D33" s="110"/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1"/>
  <sheetViews>
    <sheetView zoomScale="150" zoomScaleNormal="130" workbookViewId="0">
      <selection activeCell="C21" sqref="C21"/>
    </sheetView>
  </sheetViews>
  <sheetFormatPr baseColWidth="10" defaultColWidth="9.1640625" defaultRowHeight="12"/>
  <cols>
    <col min="1" max="1" width="2" style="7" customWidth="1"/>
    <col min="2" max="2" width="48.83203125" style="7" bestFit="1" customWidth="1"/>
    <col min="3" max="3" width="9.1640625" style="7" customWidth="1"/>
    <col min="4" max="4" width="9.5" style="7" bestFit="1" customWidth="1"/>
    <col min="5" max="5" width="9.1640625" style="7" customWidth="1"/>
    <col min="6" max="6" width="2" style="7" customWidth="1"/>
    <col min="7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49</v>
      </c>
    </row>
    <row r="2" spans="2:13">
      <c r="B2" s="7" t="s">
        <v>153</v>
      </c>
    </row>
    <row r="3" spans="2:13" ht="24.5" customHeight="1" thickBot="1">
      <c r="B3" s="17" t="s">
        <v>131</v>
      </c>
      <c r="C3" s="18" t="s">
        <v>117</v>
      </c>
      <c r="D3" s="18" t="s">
        <v>118</v>
      </c>
      <c r="E3" s="18" t="s">
        <v>119</v>
      </c>
      <c r="F3" s="21"/>
      <c r="G3" s="19" t="s">
        <v>120</v>
      </c>
      <c r="H3" s="19" t="s">
        <v>121</v>
      </c>
      <c r="I3" s="19" t="s">
        <v>122</v>
      </c>
      <c r="J3" s="19" t="s">
        <v>123</v>
      </c>
      <c r="K3" s="19" t="s">
        <v>124</v>
      </c>
      <c r="M3" s="22" t="s">
        <v>42</v>
      </c>
    </row>
    <row r="4" spans="2:13">
      <c r="B4" s="7" t="s">
        <v>157</v>
      </c>
      <c r="C4" s="13">
        <f>'BS source'!D$4</f>
        <v>18289.16</v>
      </c>
      <c r="D4" s="13">
        <f>'BS source'!E$4</f>
        <v>33854.910000000003</v>
      </c>
      <c r="E4" s="13">
        <f>'BS source'!F$4</f>
        <v>50056.18</v>
      </c>
      <c r="G4" s="27">
        <f>G19-SUM(G5:G11)</f>
        <v>48918.967924735189</v>
      </c>
      <c r="H4" s="27">
        <f t="shared" ref="H4:K4" si="0">H19-SUM(H5:H11)</f>
        <v>66365.725916535448</v>
      </c>
      <c r="I4" s="27">
        <f t="shared" si="0"/>
        <v>86008.842239351623</v>
      </c>
      <c r="J4" s="27">
        <f t="shared" si="0"/>
        <v>108111.87989290582</v>
      </c>
      <c r="K4" s="27">
        <f t="shared" si="0"/>
        <v>132970.02943688654</v>
      </c>
      <c r="M4" s="7" t="s">
        <v>263</v>
      </c>
    </row>
    <row r="5" spans="2:13">
      <c r="B5" s="7" t="s">
        <v>158</v>
      </c>
      <c r="C5" s="13">
        <f>SUMIF('BS assumptions'!$B:$B,BS!$B5,'BS assumptions'!C:C)</f>
        <v>22218.35</v>
      </c>
      <c r="D5" s="13">
        <f>SUMIF('BS assumptions'!$B:$B,BS!$B5,'BS assumptions'!D:D)</f>
        <v>17255.07</v>
      </c>
      <c r="E5" s="13">
        <f>SUMIF('BS assumptions'!$B:$B,BS!$B5,'BS assumptions'!E:E)</f>
        <v>15484.28</v>
      </c>
      <c r="F5" s="13">
        <f>SUMIF('BS assumptions'!$B:$B,BS!$B5,'BS assumptions'!F:F)</f>
        <v>0</v>
      </c>
      <c r="G5" s="27">
        <f>SUMIF('BS assumptions'!$B:$B,BS!$B5,'BS assumptions'!G:G)</f>
        <v>17342.393600000003</v>
      </c>
      <c r="H5" s="27">
        <f>SUMIF('BS assumptions'!$B:$B,BS!$B5,'BS assumptions'!H:H)</f>
        <v>19423.480832000008</v>
      </c>
      <c r="I5" s="27">
        <f>SUMIF('BS assumptions'!$B:$B,BS!$B5,'BS assumptions'!I:I)</f>
        <v>21754.29853184001</v>
      </c>
      <c r="J5" s="27">
        <f>SUMIF('BS assumptions'!$B:$B,BS!$B5,'BS assumptions'!J:J)</f>
        <v>24364.814355660808</v>
      </c>
      <c r="K5" s="27">
        <f>SUMIF('BS assumptions'!$B:$B,BS!$B5,'BS assumptions'!K:K)</f>
        <v>27288.592078340116</v>
      </c>
    </row>
    <row r="6" spans="2:13">
      <c r="B6" s="7" t="s">
        <v>41</v>
      </c>
      <c r="C6" s="13">
        <f>SUMIF('BS assumptions'!$B:$B,BS!$B6,'BS assumptions'!C:C)</f>
        <v>7750.9100000000008</v>
      </c>
      <c r="D6" s="13">
        <f>SUMIF('BS assumptions'!$B:$B,BS!$B6,'BS assumptions'!D:D)</f>
        <v>7611</v>
      </c>
      <c r="E6" s="13">
        <f>SUMIF('BS assumptions'!$B:$B,BS!$B6,'BS assumptions'!E:E)</f>
        <v>10739.08</v>
      </c>
      <c r="F6" s="13">
        <f>SUMIF('BS assumptions'!$B:$B,BS!$B6,'BS assumptions'!F:F)</f>
        <v>0</v>
      </c>
      <c r="G6" s="27">
        <f>SUMIF('BS assumptions'!$B:$B,BS!$B6,'BS assumptions'!G:G)</f>
        <v>11902.526959024422</v>
      </c>
      <c r="H6" s="27">
        <f>SUMIF('BS assumptions'!$B:$B,BS!$B6,'BS assumptions'!H:H)</f>
        <v>13330.830194107353</v>
      </c>
      <c r="I6" s="27">
        <f>SUMIF('BS assumptions'!$B:$B,BS!$B6,'BS assumptions'!I:I)</f>
        <v>14930.529817400238</v>
      </c>
      <c r="J6" s="27">
        <f>SUMIF('BS assumptions'!$B:$B,BS!$B6,'BS assumptions'!J:J)</f>
        <v>16722.193395488266</v>
      </c>
      <c r="K6" s="27">
        <f>SUMIF('BS assumptions'!$B:$B,BS!$B6,'BS assumptions'!K:K)</f>
        <v>18728.856602946864</v>
      </c>
    </row>
    <row r="7" spans="2:13" ht="15" customHeight="1">
      <c r="B7" s="7" t="s">
        <v>162</v>
      </c>
      <c r="C7" s="13">
        <f>SUMIF('BS assumptions'!$B:$B,BS!$B7,'BS assumptions'!C:C)</f>
        <v>42240.59</v>
      </c>
      <c r="D7" s="13">
        <f>SUMIF('BS assumptions'!$B:$B,BS!$B7,'BS assumptions'!D:D)</f>
        <v>40997.599999999999</v>
      </c>
      <c r="E7" s="13">
        <f>SUMIF('BS assumptions'!$B:$B,BS!$B7,'BS assumptions'!E:E)</f>
        <v>45096.26</v>
      </c>
      <c r="F7" s="13">
        <f>SUMIF('BS assumptions'!$B:$B,BS!$B7,'BS assumptions'!F:F)</f>
        <v>0</v>
      </c>
      <c r="G7" s="27">
        <f>SUMIF('BS assumptions'!$B:$B,BS!$B7,'BS assumptions'!G:G)</f>
        <v>60148.511463532588</v>
      </c>
      <c r="H7" s="27">
        <f>SUMIF('BS assumptions'!$B:$B,BS!$B7,'BS assumptions'!H:H)</f>
        <v>67366.332839156501</v>
      </c>
      <c r="I7" s="27">
        <f>SUMIF('BS assumptions'!$B:$B,BS!$B7,'BS assumptions'!I:I)</f>
        <v>75450.292779855299</v>
      </c>
      <c r="J7" s="27">
        <f>SUMIF('BS assumptions'!$B:$B,BS!$B7,'BS assumptions'!J:J)</f>
        <v>84504.327913437941</v>
      </c>
      <c r="K7" s="27">
        <f>SUMIF('BS assumptions'!$B:$B,BS!$B7,'BS assumptions'!K:K)</f>
        <v>94644.847263050498</v>
      </c>
    </row>
    <row r="8" spans="2:13">
      <c r="B8" s="7" t="s">
        <v>202</v>
      </c>
      <c r="C8" s="13">
        <f>SUMIF('BS assumptions'!$B:$B,BS!$B8,'BS assumptions'!C:C)</f>
        <v>9081.0300000000007</v>
      </c>
      <c r="D8" s="13">
        <f>SUMIF('BS assumptions'!$B:$B,BS!$B8,'BS assumptions'!D:D)</f>
        <v>8474.48</v>
      </c>
      <c r="E8" s="13">
        <f>SUMIF('BS assumptions'!$B:$B,BS!$B8,'BS assumptions'!E:E)</f>
        <v>7945.1</v>
      </c>
      <c r="F8" s="13">
        <f>SUMIF('BS assumptions'!$B:$B,BS!$B8,'BS assumptions'!F:F)</f>
        <v>0</v>
      </c>
      <c r="G8" s="27">
        <f>SUMIF('BS assumptions'!$B:$B,BS!$B8,'BS assumptions'!G:G)</f>
        <v>11994.657528600321</v>
      </c>
      <c r="H8" s="27">
        <f>SUMIF('BS assumptions'!$B:$B,BS!$B8,'BS assumptions'!H:H)</f>
        <v>13434.01643203236</v>
      </c>
      <c r="I8" s="27">
        <f>SUMIF('BS assumptions'!$B:$B,BS!$B8,'BS assumptions'!I:I)</f>
        <v>15046.098403876245</v>
      </c>
      <c r="J8" s="27">
        <f>SUMIF('BS assumptions'!$B:$B,BS!$B8,'BS assumptions'!J:J)</f>
        <v>16851.630212341395</v>
      </c>
      <c r="K8" s="27">
        <f>SUMIF('BS assumptions'!$B:$B,BS!$B8,'BS assumptions'!K:K)</f>
        <v>18873.825837822365</v>
      </c>
    </row>
    <row r="9" spans="2:13">
      <c r="B9" s="7" t="s">
        <v>39</v>
      </c>
      <c r="C9" s="13">
        <f>SUMIF('BS assumptions'!$B:$B,BS!$B9,'BS assumptions'!C:C)</f>
        <v>9883.8799999999992</v>
      </c>
      <c r="D9" s="13">
        <f>SUMIF('BS assumptions'!$B:$B,BS!$B9,'BS assumptions'!D:D)</f>
        <v>9490.93</v>
      </c>
      <c r="E9" s="13">
        <f>SUMIF('BS assumptions'!$B:$B,BS!$B9,'BS assumptions'!E:E)</f>
        <v>8986.89</v>
      </c>
      <c r="F9" s="13">
        <f>SUMIF('BS assumptions'!$B:$B,BS!$B9,'BS assumptions'!F:F)</f>
        <v>0</v>
      </c>
      <c r="G9" s="27">
        <f>SUMIF('BS assumptions'!$B:$B,BS!$B9,'BS assumptions'!G:G)</f>
        <v>13314.213372027532</v>
      </c>
      <c r="H9" s="27">
        <f>SUMIF('BS assumptions'!$B:$B,BS!$B9,'BS assumptions'!H:H)</f>
        <v>14911.918976670837</v>
      </c>
      <c r="I9" s="27">
        <f>SUMIF('BS assumptions'!$B:$B,BS!$B9,'BS assumptions'!I:I)</f>
        <v>16701.34925387134</v>
      </c>
      <c r="J9" s="27">
        <f>SUMIF('BS assumptions'!$B:$B,BS!$B9,'BS assumptions'!J:J)</f>
        <v>18705.511164335901</v>
      </c>
      <c r="K9" s="27">
        <f>SUMIF('BS assumptions'!$B:$B,BS!$B9,'BS assumptions'!K:K)</f>
        <v>20950.172504056212</v>
      </c>
    </row>
    <row r="10" spans="2:13">
      <c r="B10" s="7" t="s">
        <v>165</v>
      </c>
      <c r="C10" s="13">
        <f>SUMIF('BS assumptions'!$B:$B,BS!$B10,'BS assumptions'!C:C)</f>
        <v>22688.26</v>
      </c>
      <c r="D10" s="13">
        <f>SUMIF('BS assumptions'!$B:$B,BS!$B10,'BS assumptions'!D:D)</f>
        <v>21493.52</v>
      </c>
      <c r="E10" s="13">
        <f>SUMIF('BS assumptions'!$B:$B,BS!$B10,'BS assumptions'!E:E)</f>
        <v>21340.22</v>
      </c>
      <c r="F10" s="13">
        <f>SUMIF('BS assumptions'!$B:$B,BS!$B10,'BS assumptions'!F:F)</f>
        <v>0</v>
      </c>
      <c r="G10" s="27">
        <f>SUMIF('BS assumptions'!$B:$B,BS!$B10,'BS assumptions'!G:G)</f>
        <v>30682.904411873391</v>
      </c>
      <c r="H10" s="27">
        <f>SUMIF('BS assumptions'!$B:$B,BS!$B10,'BS assumptions'!H:H)</f>
        <v>34364.852941298202</v>
      </c>
      <c r="I10" s="27">
        <f>SUMIF('BS assumptions'!$B:$B,BS!$B10,'BS assumptions'!I:I)</f>
        <v>38488.635294253989</v>
      </c>
      <c r="J10" s="27">
        <f>SUMIF('BS assumptions'!$B:$B,BS!$B10,'BS assumptions'!J:J)</f>
        <v>43107.271529564474</v>
      </c>
      <c r="K10" s="27">
        <f>SUMIF('BS assumptions'!$B:$B,BS!$B10,'BS assumptions'!K:K)</f>
        <v>48280.144113112219</v>
      </c>
    </row>
    <row r="11" spans="2:13" ht="14" customHeight="1">
      <c r="B11" s="7" t="s">
        <v>50</v>
      </c>
      <c r="C11" s="13">
        <f>'BS source'!D$18</f>
        <v>211.94</v>
      </c>
      <c r="D11" s="13">
        <f>'BS source'!E$18</f>
        <v>219.72</v>
      </c>
      <c r="E11" s="13">
        <f>'BS source'!F$18</f>
        <v>574.36</v>
      </c>
      <c r="F11" s="13">
        <f>SUMIF('BS assumptions'!$B:$B,BS!$B11,'BS assumptions'!F:F)</f>
        <v>0</v>
      </c>
      <c r="G11" s="27">
        <f>$E$11</f>
        <v>574.36</v>
      </c>
      <c r="H11" s="27">
        <f t="shared" ref="H11:K11" si="1">$E$11</f>
        <v>574.36</v>
      </c>
      <c r="I11" s="27">
        <f t="shared" si="1"/>
        <v>574.36</v>
      </c>
      <c r="J11" s="27">
        <f t="shared" si="1"/>
        <v>574.36</v>
      </c>
      <c r="K11" s="27">
        <f t="shared" si="1"/>
        <v>574.36</v>
      </c>
    </row>
    <row r="12" spans="2:13" ht="12.5" customHeight="1" thickBot="1">
      <c r="B12" s="55" t="s">
        <v>51</v>
      </c>
      <c r="C12" s="56">
        <f>SUM(C4:C11)</f>
        <v>132364.12</v>
      </c>
      <c r="D12" s="56">
        <f t="shared" ref="D12:K12" si="2">SUM(D4:D11)</f>
        <v>139397.22999999998</v>
      </c>
      <c r="E12" s="56">
        <f t="shared" si="2"/>
        <v>160222.37000000002</v>
      </c>
      <c r="F12" s="56">
        <f t="shared" si="2"/>
        <v>0</v>
      </c>
      <c r="G12" s="56">
        <f>SUM(G4:G11)</f>
        <v>194878.53525979345</v>
      </c>
      <c r="H12" s="56">
        <f>SUM(H4:H11)</f>
        <v>229771.51813180069</v>
      </c>
      <c r="I12" s="56">
        <f t="shared" si="2"/>
        <v>268954.40632044867</v>
      </c>
      <c r="J12" s="56">
        <f t="shared" si="2"/>
        <v>312941.98846373457</v>
      </c>
      <c r="K12" s="56">
        <f t="shared" si="2"/>
        <v>362310.8278362148</v>
      </c>
    </row>
    <row r="13" spans="2:13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106</v>
      </c>
      <c r="C14" s="99">
        <f>'BS source'!J$10</f>
        <v>75426.080000000002</v>
      </c>
      <c r="D14" s="116">
        <f>'BS source'!K$10</f>
        <v>86831.01</v>
      </c>
      <c r="E14" s="99">
        <f>'BS source'!L$10</f>
        <v>96070.04</v>
      </c>
      <c r="F14" s="99">
        <f>SUMIF('BS assumptions'!$B:$B,BS!$B14,'BS assumptions'!F:F)</f>
        <v>0</v>
      </c>
      <c r="G14" s="27">
        <f>E$14+'P&amp;L'!G22</f>
        <v>119531.223668832</v>
      </c>
      <c r="H14" s="27">
        <f>G$14+'P&amp;L'!H22</f>
        <v>145910.49674992386</v>
      </c>
      <c r="I14" s="27">
        <f>H$14+'P&amp;L'!I22</f>
        <v>175558.02997274674</v>
      </c>
      <c r="J14" s="27">
        <f>I$14+'P&amp;L'!J22</f>
        <v>208866.01455430835</v>
      </c>
      <c r="K14" s="27">
        <f>J$14+'P&amp;L'!K22</f>
        <v>246273.70465765736</v>
      </c>
      <c r="M14" s="7" t="s">
        <v>216</v>
      </c>
    </row>
    <row r="15" spans="2:13">
      <c r="B15" s="7" t="s">
        <v>172</v>
      </c>
      <c r="C15" s="13">
        <f>SUMIF('BS assumptions'!$B:$B,BS!$B15,'BS assumptions'!C:C)</f>
        <v>19659.759999999998</v>
      </c>
      <c r="D15" s="13">
        <f>SUMIF('BS assumptions'!$B:$B,BS!$B15,'BS assumptions'!D:D)</f>
        <v>14737.47</v>
      </c>
      <c r="E15" s="13">
        <f>SUMIF('BS assumptions'!$B:$B,BS!$B15,'BS assumptions'!E:E)</f>
        <v>17570.830000000002</v>
      </c>
      <c r="F15" s="13">
        <f>SUMIF('BS assumptions'!$B:$B,BS!$B15,'BS assumptions'!F:F)</f>
        <v>0</v>
      </c>
      <c r="G15" s="27">
        <f>SUMIF('BS assumptions'!$B:$B,BS!$B15,'BS assumptions'!G:G)</f>
        <v>19679.329600000005</v>
      </c>
      <c r="H15" s="27">
        <f>SUMIF('BS assumptions'!$B:$B,BS!$B15,'BS assumptions'!H:H)</f>
        <v>22040.849152000006</v>
      </c>
      <c r="I15" s="27">
        <f>SUMIF('BS assumptions'!$B:$B,BS!$B15,'BS assumptions'!I:I)</f>
        <v>24685.751050240015</v>
      </c>
      <c r="J15" s="27">
        <f>SUMIF('BS assumptions'!$B:$B,BS!$B15,'BS assumptions'!J:J)</f>
        <v>27648.041176268816</v>
      </c>
      <c r="K15" s="27">
        <f>SUMIF('BS assumptions'!$B:$B,BS!$B15,'BS assumptions'!K:K)</f>
        <v>30965.806117421078</v>
      </c>
    </row>
    <row r="16" spans="2:13">
      <c r="B16" s="7" t="s">
        <v>173</v>
      </c>
      <c r="C16" s="13">
        <f>SUMIF('BS assumptions'!$B:$B,BS!$B16,'BS assumptions'!C:C)</f>
        <v>19563.73</v>
      </c>
      <c r="D16" s="13">
        <f>SUMIF('BS assumptions'!$B:$B,BS!$B16,'BS assumptions'!D:D)</f>
        <v>22857.58</v>
      </c>
      <c r="E16" s="13">
        <f>SUMIF('BS assumptions'!$B:$B,BS!$B16,'BS assumptions'!E:E)</f>
        <v>32495.29</v>
      </c>
      <c r="F16" s="13">
        <f>SUMIF('BS assumptions'!$B:$B,BS!$B16,'BS assumptions'!F:F)</f>
        <v>0</v>
      </c>
      <c r="G16" s="27">
        <f>SUMIF('BS assumptions'!$B:$B,BS!$B16,'BS assumptions'!G:G)</f>
        <v>33861.800790231369</v>
      </c>
      <c r="H16" s="27">
        <f>SUMIF('BS assumptions'!$B:$B,BS!$B16,'BS assumptions'!H:H)</f>
        <v>37925.216885059141</v>
      </c>
      <c r="I16" s="27">
        <f>SUMIF('BS assumptions'!$B:$B,BS!$B16,'BS assumptions'!I:I)</f>
        <v>42476.242911266236</v>
      </c>
      <c r="J16" s="27">
        <f>SUMIF('BS assumptions'!$B:$B,BS!$B16,'BS assumptions'!J:J)</f>
        <v>47573.392060618193</v>
      </c>
      <c r="K16" s="27">
        <f>SUMIF('BS assumptions'!$B:$B,BS!$B16,'BS assumptions'!K:K)</f>
        <v>53282.199107892382</v>
      </c>
    </row>
    <row r="17" spans="2:11" ht="13" customHeight="1">
      <c r="B17" s="7" t="s">
        <v>210</v>
      </c>
      <c r="C17" s="13">
        <f>SUMIF('BS assumptions'!$B:$B,BS!$B17,'BS assumptions'!C:C)</f>
        <v>14497.91</v>
      </c>
      <c r="D17" s="13">
        <f>SUMIF('BS assumptions'!$B:$B,BS!$B17,'BS assumptions'!D:D)</f>
        <v>12270.56</v>
      </c>
      <c r="E17" s="13">
        <f>SUMIF('BS assumptions'!$B:$B,BS!$B17,'BS assumptions'!E:E)</f>
        <v>9686.48</v>
      </c>
      <c r="F17" s="13">
        <f>SUMIF('BS assumptions'!$B:$B,BS!$B17,'BS assumptions'!F:F)</f>
        <v>0</v>
      </c>
      <c r="G17" s="27">
        <f>SUMIF('BS assumptions'!$B:$B,BS!$B17,'BS assumptions'!G:G)</f>
        <v>17406.451200730044</v>
      </c>
      <c r="H17" s="27">
        <f>SUMIF('BS assumptions'!$B:$B,BS!$B17,'BS assumptions'!H:H)</f>
        <v>19495.225344817649</v>
      </c>
      <c r="I17" s="27">
        <f>SUMIF('BS assumptions'!$B:$B,BS!$B17,'BS assumptions'!I:I)</f>
        <v>21834.652386195768</v>
      </c>
      <c r="J17" s="27">
        <f>SUMIF('BS assumptions'!$B:$B,BS!$B17,'BS assumptions'!J:J)</f>
        <v>24454.810672539264</v>
      </c>
      <c r="K17" s="27">
        <f>SUMIF('BS assumptions'!$B:$B,BS!$B17,'BS assumptions'!K:K)</f>
        <v>27389.387953243982</v>
      </c>
    </row>
    <row r="18" spans="2:11">
      <c r="B18" s="7" t="s">
        <v>203</v>
      </c>
      <c r="C18" s="13">
        <f>'BS source'!J$23</f>
        <v>3216.6400000000003</v>
      </c>
      <c r="D18" s="13">
        <f>'BS source'!K$23</f>
        <v>2700.61</v>
      </c>
      <c r="E18" s="13">
        <f>'BS source'!L$23</f>
        <v>4399.7300000000005</v>
      </c>
      <c r="F18" s="13"/>
      <c r="G18" s="27">
        <f>$E$18</f>
        <v>4399.7300000000005</v>
      </c>
      <c r="H18" s="27">
        <f t="shared" ref="H18:K18" si="3">$E$18</f>
        <v>4399.7300000000005</v>
      </c>
      <c r="I18" s="27">
        <f t="shared" si="3"/>
        <v>4399.7300000000005</v>
      </c>
      <c r="J18" s="27">
        <f t="shared" si="3"/>
        <v>4399.7300000000005</v>
      </c>
      <c r="K18" s="27">
        <f t="shared" si="3"/>
        <v>4399.7300000000005</v>
      </c>
    </row>
    <row r="19" spans="2:11" ht="17" customHeight="1" thickBot="1">
      <c r="B19" s="55" t="s">
        <v>52</v>
      </c>
      <c r="C19" s="56">
        <f>SUM(C14:C18)</f>
        <v>132364.12</v>
      </c>
      <c r="D19" s="56">
        <f t="shared" ref="D19:K19" si="4">SUM(D14:D18)</f>
        <v>139397.22999999998</v>
      </c>
      <c r="E19" s="56">
        <f t="shared" si="4"/>
        <v>160222.37000000002</v>
      </c>
      <c r="F19" s="56">
        <f t="shared" si="4"/>
        <v>0</v>
      </c>
      <c r="G19" s="56">
        <f t="shared" si="4"/>
        <v>194878.53525979343</v>
      </c>
      <c r="H19" s="56">
        <f t="shared" si="4"/>
        <v>229771.51813180067</v>
      </c>
      <c r="I19" s="56">
        <f t="shared" si="4"/>
        <v>268954.40632044873</v>
      </c>
      <c r="J19" s="56">
        <f t="shared" si="4"/>
        <v>312941.98846373463</v>
      </c>
      <c r="K19" s="56">
        <f t="shared" si="4"/>
        <v>362310.8278362148</v>
      </c>
    </row>
    <row r="20" spans="2:11">
      <c r="G20" s="13"/>
      <c r="H20" s="13"/>
      <c r="I20" s="13"/>
      <c r="J20" s="13"/>
      <c r="K20" s="13"/>
    </row>
    <row r="21" spans="2:11">
      <c r="B21" s="7" t="s">
        <v>53</v>
      </c>
      <c r="C21" s="115">
        <f>C12-C19</f>
        <v>0</v>
      </c>
      <c r="D21" s="47">
        <f>D12-D19</f>
        <v>0</v>
      </c>
      <c r="E21" s="7">
        <f>E12-E19</f>
        <v>0</v>
      </c>
      <c r="G21" s="7">
        <f>G12-G19</f>
        <v>0</v>
      </c>
      <c r="H21" s="7">
        <f>H12-H19</f>
        <v>0</v>
      </c>
      <c r="I21" s="7">
        <f>I12-I19</f>
        <v>0</v>
      </c>
      <c r="J21" s="7">
        <f>J12-J19</f>
        <v>0</v>
      </c>
      <c r="K21" s="7">
        <f>K12-K19</f>
        <v>0</v>
      </c>
    </row>
  </sheetData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48"/>
  <sheetViews>
    <sheetView tabSelected="1" topLeftCell="A12" zoomScale="138" zoomScaleNormal="134" workbookViewId="0">
      <selection activeCell="M34" sqref="M34"/>
    </sheetView>
  </sheetViews>
  <sheetFormatPr baseColWidth="10" defaultColWidth="9.1640625" defaultRowHeight="12"/>
  <cols>
    <col min="1" max="1" width="2" style="11" customWidth="1"/>
    <col min="2" max="2" width="31.5" style="11" bestFit="1" customWidth="1"/>
    <col min="3" max="3" width="9.1640625" style="11" customWidth="1"/>
    <col min="4" max="4" width="9.5" style="11" bestFit="1" customWidth="1"/>
    <col min="5" max="5" width="9.1640625" style="11" customWidth="1"/>
    <col min="6" max="6" width="2" style="11" customWidth="1"/>
    <col min="7" max="11" width="9.1640625" style="11" customWidth="1"/>
    <col min="12" max="12" width="2" style="11" customWidth="1"/>
    <col min="13" max="15" width="9.1640625" style="11" customWidth="1"/>
    <col min="16" max="16" width="12.83203125" style="11" bestFit="1" customWidth="1"/>
    <col min="17" max="17" width="9.1640625" style="11" customWidth="1"/>
    <col min="18" max="16384" width="9.1640625" style="11"/>
  </cols>
  <sheetData>
    <row r="1" spans="2:13" ht="15.5" customHeight="1">
      <c r="B1" s="12" t="s">
        <v>10</v>
      </c>
      <c r="C1" s="12"/>
    </row>
    <row r="2" spans="2:13" ht="13" customHeight="1">
      <c r="B2" s="11" t="s">
        <v>153</v>
      </c>
    </row>
    <row r="3" spans="2:13" ht="31" customHeight="1" thickBot="1">
      <c r="B3" s="17" t="s">
        <v>154</v>
      </c>
      <c r="C3" s="17"/>
      <c r="D3" s="18" t="s">
        <v>110</v>
      </c>
      <c r="E3" s="18" t="s">
        <v>109</v>
      </c>
      <c r="F3" s="21"/>
      <c r="G3" s="19" t="s">
        <v>112</v>
      </c>
      <c r="H3" s="19" t="s">
        <v>113</v>
      </c>
      <c r="I3" s="19" t="s">
        <v>114</v>
      </c>
      <c r="J3" s="19" t="s">
        <v>115</v>
      </c>
      <c r="K3" s="19" t="s">
        <v>116</v>
      </c>
      <c r="L3" s="7"/>
      <c r="M3" s="22" t="s">
        <v>42</v>
      </c>
    </row>
    <row r="4" spans="2:13">
      <c r="B4" s="11" t="s">
        <v>45</v>
      </c>
      <c r="D4" s="11">
        <f>'P&amp;L'!D13</f>
        <v>13007.79</v>
      </c>
      <c r="E4" s="11">
        <f>'P&amp;L'!E13</f>
        <v>16136.35</v>
      </c>
      <c r="F4" s="31"/>
      <c r="G4" s="62">
        <f>'P&amp;L'!G13</f>
        <v>18371.670979200004</v>
      </c>
      <c r="H4" s="62">
        <f>'P&amp;L'!H13</f>
        <v>20576.271496704005</v>
      </c>
      <c r="I4" s="62">
        <f>'P&amp;L'!I13</f>
        <v>23045.424076308489</v>
      </c>
      <c r="J4" s="62">
        <f>'P&amp;L'!J13</f>
        <v>25810.874965465511</v>
      </c>
      <c r="K4" s="62">
        <f>'P&amp;L'!K13</f>
        <v>28908.179961321373</v>
      </c>
    </row>
    <row r="5" spans="2:13">
      <c r="B5" s="11" t="s">
        <v>54</v>
      </c>
      <c r="D5" s="11">
        <f>D6*D4</f>
        <v>-200.71881443302394</v>
      </c>
      <c r="E5" s="11">
        <f>E6*E4</f>
        <v>-1238.5925736025918</v>
      </c>
      <c r="F5" s="31"/>
      <c r="G5" s="62">
        <f>G6*G4</f>
        <v>-1653.4503881280002</v>
      </c>
      <c r="H5" s="62">
        <f>H6*H4</f>
        <v>-1851.8644347033603</v>
      </c>
      <c r="I5" s="62">
        <f>I6*I4</f>
        <v>-2074.0881668677639</v>
      </c>
      <c r="J5" s="62">
        <f>J6*J4</f>
        <v>-2322.9787468918958</v>
      </c>
      <c r="K5" s="62">
        <f>K6*K4</f>
        <v>-2601.7361965189234</v>
      </c>
    </row>
    <row r="6" spans="2:13">
      <c r="B6" s="11" t="s">
        <v>55</v>
      </c>
      <c r="D6" s="24">
        <f>'P&amp;L'!D19</f>
        <v>-1.5430662274915564E-2</v>
      </c>
      <c r="E6" s="24">
        <f>'P&amp;L'!E19</f>
        <v>-7.6757914497553148E-2</v>
      </c>
      <c r="F6" s="24"/>
      <c r="G6" s="26">
        <f>'P&amp;L'!G19</f>
        <v>-0.09</v>
      </c>
      <c r="H6" s="26">
        <f>'P&amp;L'!H19</f>
        <v>-0.09</v>
      </c>
      <c r="I6" s="26">
        <f>'P&amp;L'!I19</f>
        <v>-0.09</v>
      </c>
      <c r="J6" s="26">
        <f>'P&amp;L'!J19</f>
        <v>-0.09</v>
      </c>
      <c r="K6" s="26">
        <f>'P&amp;L'!K19</f>
        <v>-0.09</v>
      </c>
    </row>
    <row r="7" spans="2:13" ht="12" customHeight="1">
      <c r="B7" s="49" t="s">
        <v>56</v>
      </c>
      <c r="C7" s="49"/>
      <c r="D7" s="49">
        <f>SUM(D4:D5)</f>
        <v>12807.071185566976</v>
      </c>
      <c r="E7" s="49">
        <f>SUM(E4:E5)</f>
        <v>14897.757426397409</v>
      </c>
      <c r="F7" s="58"/>
      <c r="G7" s="66">
        <f>SUM(G4:G5)</f>
        <v>16718.220591072004</v>
      </c>
      <c r="H7" s="66">
        <f>SUM(H4:H5)</f>
        <v>18724.407062000646</v>
      </c>
      <c r="I7" s="66">
        <f>SUM(I4:I5)</f>
        <v>20971.335909440724</v>
      </c>
      <c r="J7" s="66">
        <f>SUM(J4:J5)</f>
        <v>23487.896218573616</v>
      </c>
      <c r="K7" s="66">
        <f>SUM(K4:K5)</f>
        <v>26306.44376480245</v>
      </c>
    </row>
    <row r="8" spans="2:13" ht="3.75" customHeight="1">
      <c r="B8" s="23"/>
      <c r="C8" s="23"/>
      <c r="D8" s="23"/>
      <c r="E8" s="23"/>
      <c r="G8" s="67"/>
      <c r="H8" s="67"/>
      <c r="I8" s="67"/>
      <c r="J8" s="67"/>
      <c r="K8" s="67"/>
    </row>
    <row r="9" spans="2:13">
      <c r="B9" s="11" t="s">
        <v>57</v>
      </c>
      <c r="D9" s="11">
        <f>-'P&amp;L'!D12</f>
        <v>1396.76</v>
      </c>
      <c r="E9" s="11">
        <f>-'P&amp;L'!E12</f>
        <v>1426.72</v>
      </c>
      <c r="G9" s="62">
        <f>-'P&amp;L'!G12</f>
        <v>1511.0898208000003</v>
      </c>
      <c r="H9" s="62">
        <f>-'P&amp;L'!H12</f>
        <v>1692.4205992960003</v>
      </c>
      <c r="I9" s="62">
        <f>-'P&amp;L'!I12</f>
        <v>1895.5110712115206</v>
      </c>
      <c r="J9" s="62">
        <f>-'P&amp;L'!J12</f>
        <v>2122.9723997569035</v>
      </c>
      <c r="K9" s="62">
        <f>-'P&amp;L'!K12</f>
        <v>2377.7290877277319</v>
      </c>
    </row>
    <row r="10" spans="2:13" ht="12" customHeight="1">
      <c r="B10" s="49" t="s">
        <v>58</v>
      </c>
      <c r="C10" s="49"/>
      <c r="D10" s="49">
        <f>SUM(D7:D9)</f>
        <v>14203.831185566976</v>
      </c>
      <c r="E10" s="49">
        <f>SUM(E7:E9)</f>
        <v>16324.477426397409</v>
      </c>
      <c r="F10" s="60"/>
      <c r="G10" s="66">
        <f>SUM(G7:G9)</f>
        <v>18229.310411872004</v>
      </c>
      <c r="H10" s="66">
        <f>SUM(H7:H9)</f>
        <v>20416.827661296647</v>
      </c>
      <c r="I10" s="66">
        <f>SUM(I7:I9)</f>
        <v>22866.846980652244</v>
      </c>
      <c r="J10" s="66">
        <f>SUM(J7:J9)</f>
        <v>25610.868618330518</v>
      </c>
      <c r="K10" s="66">
        <f>SUM(K7:K9)</f>
        <v>28684.172852530181</v>
      </c>
      <c r="M10" s="11" t="s">
        <v>59</v>
      </c>
    </row>
    <row r="11" spans="2:13" ht="3.75" customHeight="1">
      <c r="F11" s="29"/>
      <c r="G11" s="62"/>
      <c r="H11" s="62"/>
      <c r="I11" s="62"/>
      <c r="J11" s="62"/>
      <c r="K11" s="62"/>
    </row>
    <row r="12" spans="2:13">
      <c r="B12" s="11" t="s">
        <v>162</v>
      </c>
      <c r="D12" s="11">
        <f>-(BS!D7-BS!C7)</f>
        <v>1242.989999999998</v>
      </c>
      <c r="E12" s="11">
        <f>-(BS!E7-BS!D7)</f>
        <v>-4098.6600000000035</v>
      </c>
      <c r="F12" s="61"/>
      <c r="G12" s="62">
        <f>-(BS!G7-BS!E7)</f>
        <v>-15052.251463532586</v>
      </c>
      <c r="H12" s="62">
        <f>-(BS!H7-BS!G7)</f>
        <v>-7217.8213756239129</v>
      </c>
      <c r="I12" s="62">
        <f>-(BS!I7-BS!H7)</f>
        <v>-8083.9599406987982</v>
      </c>
      <c r="J12" s="62">
        <f>-(BS!J7-BS!I7)</f>
        <v>-9054.0351335826417</v>
      </c>
      <c r="K12" s="62">
        <f>-(BS!K7-BS!J7)</f>
        <v>-10140.519349612558</v>
      </c>
    </row>
    <row r="13" spans="2:13">
      <c r="B13" s="11" t="s">
        <v>158</v>
      </c>
      <c r="D13" s="11">
        <f>-(BS!D5-BS!C5)</f>
        <v>4963.2799999999988</v>
      </c>
      <c r="E13" s="11">
        <f>-(BS!E5-BS!D5)</f>
        <v>1770.7899999999991</v>
      </c>
      <c r="F13" s="61"/>
      <c r="G13" s="62">
        <f>-(BS!G5-BS!E5)</f>
        <v>-1858.1136000000024</v>
      </c>
      <c r="H13" s="62">
        <f>-(BS!H5-BS!G5)</f>
        <v>-2081.0872320000053</v>
      </c>
      <c r="I13" s="62">
        <f>-(BS!I5-BS!H5)</f>
        <v>-2330.8176998400013</v>
      </c>
      <c r="J13" s="62">
        <f>-(BS!J5-BS!I5)</f>
        <v>-2610.5158238207987</v>
      </c>
      <c r="K13" s="62">
        <f>-(BS!K5-BS!J5)</f>
        <v>-2923.7777226793078</v>
      </c>
    </row>
    <row r="14" spans="2:13">
      <c r="B14" s="11" t="s">
        <v>172</v>
      </c>
      <c r="D14" s="11">
        <f>BS!D15-BS!C15</f>
        <v>-4922.2899999999991</v>
      </c>
      <c r="E14" s="11">
        <f>BS!E15-BS!D15</f>
        <v>2833.3600000000024</v>
      </c>
      <c r="G14" s="62">
        <f>BS!G15-BS!E15</f>
        <v>2108.4996000000028</v>
      </c>
      <c r="H14" s="62">
        <f>BS!H15-BS!G15</f>
        <v>2361.5195520000016</v>
      </c>
      <c r="I14" s="62">
        <f>BS!I15-BS!H15</f>
        <v>2644.9018982400084</v>
      </c>
      <c r="J14" s="62">
        <f>BS!J15-BS!I15</f>
        <v>2962.2901260288018</v>
      </c>
      <c r="K14" s="62">
        <f>BS!K15-BS!J15</f>
        <v>3317.7649411522616</v>
      </c>
    </row>
    <row r="15" spans="2:13" ht="12" customHeight="1">
      <c r="B15" s="49" t="s">
        <v>60</v>
      </c>
      <c r="C15" s="49"/>
      <c r="D15" s="49">
        <f>SUM(D12:D14)</f>
        <v>1283.9799999999977</v>
      </c>
      <c r="E15" s="49">
        <f t="shared" ref="E15:K15" si="0">SUM(E12:E14)</f>
        <v>505.48999999999796</v>
      </c>
      <c r="F15" s="49">
        <f t="shared" si="0"/>
        <v>0</v>
      </c>
      <c r="G15" s="66">
        <f t="shared" si="0"/>
        <v>-14801.865463532587</v>
      </c>
      <c r="H15" s="66">
        <f t="shared" si="0"/>
        <v>-6937.3890556239166</v>
      </c>
      <c r="I15" s="66">
        <f t="shared" si="0"/>
        <v>-7769.875742298791</v>
      </c>
      <c r="J15" s="66">
        <f t="shared" si="0"/>
        <v>-8702.2608313746387</v>
      </c>
      <c r="K15" s="66">
        <f t="shared" si="0"/>
        <v>-9746.5321311396037</v>
      </c>
      <c r="M15" s="11" t="s">
        <v>61</v>
      </c>
    </row>
    <row r="16" spans="2:13" ht="12" customHeight="1">
      <c r="B16" s="57" t="s">
        <v>219</v>
      </c>
      <c r="C16" s="57"/>
      <c r="D16" s="57">
        <f>-(BS!D6-BS!C6)+BS!D18-BS!C18</f>
        <v>-376.11999999999944</v>
      </c>
      <c r="E16" s="57">
        <f>-(BS!E6-BS!D6)+BS!E18-BS!D18</f>
        <v>-1428.9599999999996</v>
      </c>
      <c r="G16" s="68">
        <f>-(BS!G6-BS!E6)+BS!G18-BS!E18</f>
        <v>-1163.4469590244225</v>
      </c>
      <c r="H16" s="68">
        <f>-(BS!H6-BS!G6)+BS!H18-BS!G18</f>
        <v>-1428.3032350829308</v>
      </c>
      <c r="I16" s="68">
        <f>-(BS!I6-BS!H6)+BS!I18-BS!H18</f>
        <v>-1599.699623292885</v>
      </c>
      <c r="J16" s="68">
        <f>-(BS!J6-BS!I6)+BS!J18-BS!I18</f>
        <v>-1791.6635780880279</v>
      </c>
      <c r="K16" s="68">
        <f>-(BS!K6-BS!J6)+BS!K18-BS!J18</f>
        <v>-2006.6632074585978</v>
      </c>
      <c r="M16" s="11" t="s">
        <v>62</v>
      </c>
    </row>
    <row r="17" spans="2:13" ht="3.75" customHeight="1">
      <c r="B17" s="57"/>
      <c r="C17" s="57"/>
      <c r="D17" s="57"/>
      <c r="E17" s="57"/>
      <c r="G17" s="68"/>
      <c r="H17" s="68"/>
      <c r="I17" s="68"/>
      <c r="J17" s="68"/>
      <c r="K17" s="68"/>
    </row>
    <row r="18" spans="2:13" ht="12" customHeight="1">
      <c r="B18" s="57" t="s">
        <v>63</v>
      </c>
      <c r="C18" s="57"/>
      <c r="D18" s="57">
        <f>-(BS!D9-BS!C9)+'P&amp;L'!D12</f>
        <v>-1003.8100000000011</v>
      </c>
      <c r="E18" s="57">
        <f>-(BS!E9-BS!D9)+'P&amp;L'!E12</f>
        <v>-922.67999999999915</v>
      </c>
      <c r="G18" s="68">
        <f>-(BS!G9-BS!E9)+'P&amp;L'!G12</f>
        <v>-5838.4131928275328</v>
      </c>
      <c r="H18" s="68">
        <f>-(BS!H9-BS!G9)+'P&amp;L'!H12</f>
        <v>-3290.126203939305</v>
      </c>
      <c r="I18" s="68">
        <f>-(BS!I9-BS!H9)+'P&amp;L'!I12</f>
        <v>-3684.9413484120237</v>
      </c>
      <c r="J18" s="68">
        <f>-(BS!J9-BS!I9)+'P&amp;L'!J12</f>
        <v>-4127.1343102214651</v>
      </c>
      <c r="K18" s="68">
        <f>-(BS!K9-BS!J9)+'P&amp;L'!K12</f>
        <v>-4622.3904274480428</v>
      </c>
      <c r="M18" s="11" t="s">
        <v>64</v>
      </c>
    </row>
    <row r="19" spans="2:13" ht="12" customHeight="1">
      <c r="B19" s="57" t="s">
        <v>65</v>
      </c>
      <c r="C19" s="57"/>
      <c r="D19" s="57">
        <f>-(BS!D11-BS!C11)-(BS!D8-BS!C8)</f>
        <v>598.77000000000112</v>
      </c>
      <c r="E19" s="57">
        <f>-(BS!E11-BS!D11)-(BS!E8-BS!D8)</f>
        <v>174.73999999999921</v>
      </c>
      <c r="F19" s="43"/>
      <c r="G19" s="68">
        <f>-(BS!G11-BS!E11)-(BS!G8-BS!E8)</f>
        <v>-4049.5575286003204</v>
      </c>
      <c r="H19" s="68">
        <f>-(BS!H11-BS!G11)-(BS!H8-BS!G8)</f>
        <v>-1439.3589034320394</v>
      </c>
      <c r="I19" s="68">
        <f>-(BS!I11-BS!H11)-(BS!I8-BS!H8)</f>
        <v>-1612.0819718438852</v>
      </c>
      <c r="J19" s="68">
        <f>-(BS!J11-BS!I11)-(BS!J8-BS!I8)</f>
        <v>-1805.5318084651499</v>
      </c>
      <c r="K19" s="68">
        <f>-(BS!K11-BS!J11)-(BS!K8-BS!J8)</f>
        <v>-2022.1956254809702</v>
      </c>
      <c r="M19" s="11" t="s">
        <v>66</v>
      </c>
    </row>
    <row r="20" spans="2:13" ht="3.75" customHeight="1">
      <c r="G20" s="62"/>
      <c r="H20" s="62"/>
      <c r="I20" s="62"/>
      <c r="J20" s="62"/>
      <c r="K20" s="62"/>
    </row>
    <row r="21" spans="2:13" ht="12" customHeight="1">
      <c r="B21" s="57" t="s">
        <v>67</v>
      </c>
      <c r="C21" s="59"/>
      <c r="D21" s="57">
        <f>'P&amp;L'!D16</f>
        <v>3093.2499999999991</v>
      </c>
      <c r="E21" s="57">
        <f>'P&amp;L'!E16</f>
        <v>3704.3699999999994</v>
      </c>
      <c r="F21" s="63"/>
      <c r="G21" s="68">
        <f>'P&amp;L'!G16</f>
        <v>8350.7595360000014</v>
      </c>
      <c r="H21" s="68">
        <f>'P&amp;L'!H16</f>
        <v>9352.8506803200016</v>
      </c>
      <c r="I21" s="68">
        <f>'P&amp;L'!I16</f>
        <v>10475.192761958404</v>
      </c>
      <c r="J21" s="68">
        <f>'P&amp;L'!J16</f>
        <v>11732.215893393413</v>
      </c>
      <c r="K21" s="68">
        <f>'P&amp;L'!K16</f>
        <v>13140.081800600625</v>
      </c>
      <c r="M21" s="11" t="s">
        <v>68</v>
      </c>
    </row>
    <row r="22" spans="2:13" ht="3.75" customHeight="1">
      <c r="G22" s="62"/>
      <c r="H22" s="62"/>
      <c r="I22" s="62"/>
      <c r="J22" s="62"/>
      <c r="K22" s="62"/>
    </row>
    <row r="23" spans="2:13" ht="12" customHeight="1">
      <c r="B23" s="52" t="s">
        <v>69</v>
      </c>
      <c r="C23" s="52"/>
      <c r="D23" s="52">
        <f>SUM(D10,D15,D16,D18,D19,D21)</f>
        <v>17799.901185566974</v>
      </c>
      <c r="E23" s="52">
        <f>SUM(E10,E15,E16,E18,E19,E21)</f>
        <v>18357.43742639741</v>
      </c>
      <c r="F23" s="52"/>
      <c r="G23" s="52">
        <f>SUM(G10,G15,G16,G18,G19,G21)</f>
        <v>726.78680388714201</v>
      </c>
      <c r="H23" s="52">
        <f>SUM(H10,H15,H16,H18,H19,H21)</f>
        <v>16674.500943538456</v>
      </c>
      <c r="I23" s="52">
        <f>SUM(I10,I15,I16,I18,I19,I21)</f>
        <v>18675.441056763062</v>
      </c>
      <c r="J23" s="52">
        <f>SUM(J10,J15,J16,J18,J19,J21)</f>
        <v>20916.493983574648</v>
      </c>
      <c r="K23" s="52">
        <f>SUM(K10,K15,K16,K18,K19,K21)</f>
        <v>23426.473261603591</v>
      </c>
      <c r="M23" s="11" t="s">
        <v>70</v>
      </c>
    </row>
    <row r="24" spans="2:13" ht="3.75" customHeight="1">
      <c r="B24" s="63"/>
      <c r="G24" s="62"/>
      <c r="H24" s="62"/>
      <c r="I24" s="62"/>
      <c r="J24" s="62"/>
      <c r="K24" s="62"/>
    </row>
    <row r="25" spans="2:13" ht="12" customHeight="1">
      <c r="B25" s="64" t="s">
        <v>71</v>
      </c>
      <c r="C25" s="43"/>
      <c r="D25" s="11">
        <f>'P&amp;L'!D15</f>
        <v>-1039.47</v>
      </c>
      <c r="E25" s="11">
        <f>'P&amp;L'!E15</f>
        <v>-940.91</v>
      </c>
      <c r="F25" s="43"/>
      <c r="G25" s="62">
        <f>'P&amp;L'!G15</f>
        <v>-940.91</v>
      </c>
      <c r="H25" s="62">
        <f>'P&amp;L'!H15</f>
        <v>-940.91</v>
      </c>
      <c r="I25" s="62">
        <f>'P&amp;L'!I15</f>
        <v>-940.91</v>
      </c>
      <c r="J25" s="62">
        <f>'P&amp;L'!J15</f>
        <v>-940.91</v>
      </c>
      <c r="K25" s="62">
        <f>'P&amp;L'!K15</f>
        <v>-940.91</v>
      </c>
    </row>
    <row r="26" spans="2:13">
      <c r="B26" s="64" t="s">
        <v>72</v>
      </c>
      <c r="D26" s="11">
        <f>'P&amp;L'!D20-'Cash Flow'!D5</f>
        <v>-31.69118556697606</v>
      </c>
      <c r="E26" s="11">
        <f>'P&amp;L'!E20-'Cash Flow'!E5</f>
        <v>-212.11742639740828</v>
      </c>
      <c r="G26" s="62">
        <f>'P&amp;L'!G20-'Cash Flow'!G5</f>
        <v>-666.88645824000014</v>
      </c>
      <c r="H26" s="62">
        <f>'P&amp;L'!H20-'Cash Flow'!H5</f>
        <v>-757.0746612288001</v>
      </c>
      <c r="I26" s="62">
        <f>'P&amp;L'!I20-'Cash Flow'!I5</f>
        <v>-858.08544857625657</v>
      </c>
      <c r="J26" s="62">
        <f>'P&amp;L'!J20-'Cash Flow'!J5</f>
        <v>-971.21753040540762</v>
      </c>
      <c r="K26" s="62">
        <f>'P&amp;L'!K20-'Cash Flow'!K5</f>
        <v>-1097.9254620540564</v>
      </c>
    </row>
    <row r="27" spans="2:13">
      <c r="B27" s="64" t="s">
        <v>73</v>
      </c>
      <c r="C27" s="44"/>
      <c r="D27" s="11">
        <f>BS!D17-BS!C17</f>
        <v>-2227.3500000000004</v>
      </c>
      <c r="E27" s="11">
        <f>BS!E17-BS!D17</f>
        <v>-2584.08</v>
      </c>
      <c r="F27" s="45"/>
      <c r="G27" s="62">
        <f>BS!G17-BS!E17</f>
        <v>7719.9712007300441</v>
      </c>
      <c r="H27" s="62">
        <f>BS!H17-BS!G17</f>
        <v>2088.7741440876052</v>
      </c>
      <c r="I27" s="62">
        <f>BS!I17-BS!H17</f>
        <v>2339.4270413781196</v>
      </c>
      <c r="J27" s="62">
        <f>BS!J17-BS!I17</f>
        <v>2620.158286343496</v>
      </c>
      <c r="K27" s="62">
        <f>BS!K17-BS!J17</f>
        <v>2934.5772807047179</v>
      </c>
    </row>
    <row r="28" spans="2:13">
      <c r="B28" s="64" t="s">
        <v>74</v>
      </c>
      <c r="C28" s="44"/>
      <c r="D28" s="11">
        <f>BS!D14-BS!C14-'P&amp;L'!D22</f>
        <v>-3424.2300000000068</v>
      </c>
      <c r="E28" s="11">
        <f>BS!E14-BS!D14-'P&amp;L'!E22</f>
        <v>-8210.0700000000033</v>
      </c>
      <c r="F28" s="45"/>
      <c r="G28" s="62">
        <f>BS!G14-BS!E14-'P&amp;L'!G22</f>
        <v>0</v>
      </c>
      <c r="H28" s="62">
        <f>BS!H14-BS!G14-'P&amp;L'!H22</f>
        <v>0</v>
      </c>
      <c r="I28" s="62">
        <f>BS!I14-BS!H14-'P&amp;L'!I22</f>
        <v>0</v>
      </c>
      <c r="J28" s="62">
        <f>BS!J14-BS!I14-'P&amp;L'!J22</f>
        <v>0</v>
      </c>
      <c r="K28" s="62">
        <f>BS!K14-BS!J14-'P&amp;L'!K22</f>
        <v>0</v>
      </c>
    </row>
    <row r="29" spans="2:13" ht="12" customHeight="1">
      <c r="B29" s="52" t="s">
        <v>75</v>
      </c>
      <c r="C29" s="52"/>
      <c r="D29" s="52">
        <f>SUM(D23:D28)</f>
        <v>11077.159999999991</v>
      </c>
      <c r="E29" s="52">
        <f>SUM(E23:E28)</f>
        <v>6410.2599999999966</v>
      </c>
      <c r="F29" s="52"/>
      <c r="G29" s="52">
        <f>SUM(G23:G28)</f>
        <v>6838.9615463771861</v>
      </c>
      <c r="H29" s="52">
        <f>SUM(H23:H28)</f>
        <v>17065.29042639726</v>
      </c>
      <c r="I29" s="52">
        <f>SUM(I23:I28)</f>
        <v>19215.872649564924</v>
      </c>
      <c r="J29" s="52">
        <f>SUM(J23:J28)</f>
        <v>21624.524739512737</v>
      </c>
      <c r="K29" s="52">
        <f>SUM(K23:K28)</f>
        <v>24322.215080254253</v>
      </c>
    </row>
    <row r="30" spans="2:13" ht="3" customHeight="1">
      <c r="B30" s="63"/>
      <c r="G30" s="31"/>
      <c r="H30" s="31"/>
      <c r="I30" s="31"/>
      <c r="J30" s="31"/>
      <c r="K30" s="31"/>
    </row>
    <row r="31" spans="2:13">
      <c r="B31" s="65" t="s">
        <v>76</v>
      </c>
      <c r="C31" s="44"/>
      <c r="D31" s="100">
        <f>BS!C4</f>
        <v>18289.16</v>
      </c>
      <c r="E31" s="100">
        <f>BS!D4</f>
        <v>33854.910000000003</v>
      </c>
      <c r="F31" s="100">
        <f>BS!E4</f>
        <v>50056.18</v>
      </c>
      <c r="G31" s="100">
        <f>BS!E4</f>
        <v>50056.18</v>
      </c>
      <c r="H31" s="100">
        <f>BS!G4</f>
        <v>48918.967924735189</v>
      </c>
      <c r="I31" s="100">
        <f>BS!H4</f>
        <v>66365.725916535448</v>
      </c>
      <c r="J31" s="100">
        <f>BS!I4</f>
        <v>86008.842239351623</v>
      </c>
      <c r="K31" s="100">
        <f>BS!J4</f>
        <v>108111.87989290582</v>
      </c>
    </row>
    <row r="32" spans="2:13">
      <c r="B32" s="44" t="s">
        <v>77</v>
      </c>
      <c r="C32" s="44"/>
      <c r="D32" s="11">
        <f>D29+D31</f>
        <v>29366.319999999992</v>
      </c>
      <c r="E32" s="11">
        <f>E29+E31</f>
        <v>40265.17</v>
      </c>
      <c r="G32" s="11">
        <f>G29+G31</f>
        <v>56895.141546377185</v>
      </c>
      <c r="H32" s="11">
        <f>H29+H31</f>
        <v>65984.258351132448</v>
      </c>
      <c r="I32" s="11">
        <f>I29+I31</f>
        <v>85581.59856610038</v>
      </c>
      <c r="J32" s="11">
        <f>J29+J31</f>
        <v>107633.36697886436</v>
      </c>
      <c r="K32" s="11">
        <f>K29+K31</f>
        <v>132434.09497316007</v>
      </c>
    </row>
    <row r="34" spans="2:11">
      <c r="B34" s="44" t="s">
        <v>53</v>
      </c>
      <c r="C34" s="44"/>
      <c r="D34" s="11">
        <f>BS!D4</f>
        <v>33854.910000000003</v>
      </c>
      <c r="E34" s="11">
        <f>BS!E4</f>
        <v>50056.18</v>
      </c>
      <c r="F34" s="11">
        <f>BS!F4</f>
        <v>0</v>
      </c>
      <c r="G34" s="11">
        <f>BS!G4</f>
        <v>48918.967924735189</v>
      </c>
      <c r="H34" s="11">
        <f>BS!H4</f>
        <v>66365.725916535448</v>
      </c>
      <c r="I34" s="11">
        <f>BS!I4</f>
        <v>86008.842239351623</v>
      </c>
      <c r="J34" s="11">
        <f>BS!J4</f>
        <v>108111.87989290582</v>
      </c>
      <c r="K34" s="11">
        <f>BS!K4</f>
        <v>132970.02943688654</v>
      </c>
    </row>
    <row r="35" spans="2:11">
      <c r="B35" s="44"/>
      <c r="C35" s="44"/>
      <c r="D35" s="11">
        <f>D32-D34</f>
        <v>-4488.5900000000111</v>
      </c>
      <c r="E35" s="11">
        <f>E32-E34</f>
        <v>-9791.010000000002</v>
      </c>
      <c r="G35" s="11">
        <f>G32-G34</f>
        <v>7976.1736216419959</v>
      </c>
      <c r="H35" s="11">
        <f>H32-H34</f>
        <v>-381.46756540299975</v>
      </c>
      <c r="I35" s="11">
        <f>I32-I34</f>
        <v>-427.24367325124331</v>
      </c>
      <c r="J35" s="11">
        <f>J32-J34</f>
        <v>-478.51291404146468</v>
      </c>
      <c r="K35" s="11">
        <f>K32-K34</f>
        <v>-535.93446372647304</v>
      </c>
    </row>
    <row r="36" spans="2:11" ht="13" thickBot="1"/>
    <row r="37" spans="2:11" ht="15" customHeight="1">
      <c r="B37" s="136" t="s">
        <v>264</v>
      </c>
      <c r="C37" s="137"/>
      <c r="D37" s="137"/>
      <c r="E37" s="137"/>
      <c r="F37" s="137"/>
      <c r="G37" s="137"/>
      <c r="H37" s="137"/>
      <c r="I37" s="137"/>
      <c r="J37" s="137"/>
      <c r="K37" s="138"/>
    </row>
    <row r="38" spans="2:11">
      <c r="B38" s="139"/>
      <c r="C38" s="140"/>
      <c r="D38" s="140"/>
      <c r="E38" s="140"/>
      <c r="F38" s="140"/>
      <c r="G38" s="140"/>
      <c r="H38" s="140"/>
      <c r="I38" s="140"/>
      <c r="J38" s="140"/>
      <c r="K38" s="141"/>
    </row>
    <row r="39" spans="2:11">
      <c r="B39" s="139"/>
      <c r="C39" s="140"/>
      <c r="D39" s="140"/>
      <c r="E39" s="140"/>
      <c r="F39" s="140"/>
      <c r="G39" s="140"/>
      <c r="H39" s="140"/>
      <c r="I39" s="140"/>
      <c r="J39" s="140"/>
      <c r="K39" s="141"/>
    </row>
    <row r="40" spans="2:11">
      <c r="B40" s="139"/>
      <c r="C40" s="140"/>
      <c r="D40" s="140"/>
      <c r="E40" s="140"/>
      <c r="F40" s="140"/>
      <c r="G40" s="140"/>
      <c r="H40" s="140"/>
      <c r="I40" s="140"/>
      <c r="J40" s="140"/>
      <c r="K40" s="141"/>
    </row>
    <row r="41" spans="2:11">
      <c r="B41" s="139"/>
      <c r="C41" s="140"/>
      <c r="D41" s="140"/>
      <c r="E41" s="140"/>
      <c r="F41" s="140"/>
      <c r="G41" s="140"/>
      <c r="H41" s="140"/>
      <c r="I41" s="140"/>
      <c r="J41" s="140"/>
      <c r="K41" s="141"/>
    </row>
    <row r="42" spans="2:11">
      <c r="B42" s="139"/>
      <c r="C42" s="140"/>
      <c r="D42" s="140"/>
      <c r="E42" s="140"/>
      <c r="F42" s="140"/>
      <c r="G42" s="140"/>
      <c r="H42" s="140"/>
      <c r="I42" s="140"/>
      <c r="J42" s="140"/>
      <c r="K42" s="141"/>
    </row>
    <row r="43" spans="2:11">
      <c r="B43" s="139"/>
      <c r="C43" s="140"/>
      <c r="D43" s="140"/>
      <c r="E43" s="140"/>
      <c r="F43" s="140"/>
      <c r="G43" s="140"/>
      <c r="H43" s="140"/>
      <c r="I43" s="140"/>
      <c r="J43" s="140"/>
      <c r="K43" s="141"/>
    </row>
    <row r="44" spans="2:11">
      <c r="B44" s="139"/>
      <c r="C44" s="140"/>
      <c r="D44" s="140"/>
      <c r="E44" s="140"/>
      <c r="F44" s="140"/>
      <c r="G44" s="140"/>
      <c r="H44" s="140"/>
      <c r="I44" s="140"/>
      <c r="J44" s="140"/>
      <c r="K44" s="141"/>
    </row>
    <row r="45" spans="2:11">
      <c r="B45" s="139"/>
      <c r="C45" s="140"/>
      <c r="D45" s="140"/>
      <c r="E45" s="140"/>
      <c r="F45" s="140"/>
      <c r="G45" s="140"/>
      <c r="H45" s="140"/>
      <c r="I45" s="140"/>
      <c r="J45" s="140"/>
      <c r="K45" s="141"/>
    </row>
    <row r="46" spans="2:11">
      <c r="B46" s="139"/>
      <c r="C46" s="140"/>
      <c r="D46" s="140"/>
      <c r="E46" s="140"/>
      <c r="F46" s="140"/>
      <c r="G46" s="140"/>
      <c r="H46" s="140"/>
      <c r="I46" s="140"/>
      <c r="J46" s="140"/>
      <c r="K46" s="141"/>
    </row>
    <row r="47" spans="2:11">
      <c r="B47" s="139"/>
      <c r="C47" s="140"/>
      <c r="D47" s="140"/>
      <c r="E47" s="140"/>
      <c r="F47" s="140"/>
      <c r="G47" s="140"/>
      <c r="H47" s="140"/>
      <c r="I47" s="140"/>
      <c r="J47" s="140"/>
      <c r="K47" s="141"/>
    </row>
    <row r="48" spans="2:11" ht="13" thickBot="1">
      <c r="B48" s="142"/>
      <c r="C48" s="143"/>
      <c r="D48" s="143"/>
      <c r="E48" s="143"/>
      <c r="F48" s="143"/>
      <c r="G48" s="143"/>
      <c r="H48" s="143"/>
      <c r="I48" s="143"/>
      <c r="J48" s="143"/>
      <c r="K48" s="144"/>
    </row>
  </sheetData>
  <mergeCells count="1">
    <mergeCell ref="B37:K48"/>
  </mergeCell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31"/>
  <sheetViews>
    <sheetView zoomScale="131" zoomScaleNormal="130" workbookViewId="0">
      <selection activeCell="G11" sqref="G11"/>
    </sheetView>
  </sheetViews>
  <sheetFormatPr baseColWidth="10" defaultColWidth="9.1640625" defaultRowHeight="12"/>
  <cols>
    <col min="1" max="1" width="2" style="7" customWidth="1"/>
    <col min="2" max="2" width="22.6640625" style="7" customWidth="1"/>
    <col min="3" max="3" width="10" style="7" bestFit="1" customWidth="1"/>
    <col min="4" max="4" width="9.1640625" style="7" customWidth="1"/>
    <col min="5" max="5" width="11.5" style="7" bestFit="1" customWidth="1"/>
    <col min="6" max="6" width="2" style="7" customWidth="1"/>
    <col min="7" max="7" width="10" style="7" bestFit="1" customWidth="1"/>
    <col min="8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0</v>
      </c>
    </row>
    <row r="2" spans="2:13">
      <c r="B2" s="7" t="s">
        <v>153</v>
      </c>
    </row>
    <row r="4" spans="2:13" ht="12" customHeight="1">
      <c r="B4" s="7" t="s">
        <v>78</v>
      </c>
      <c r="C4" s="69">
        <v>8.5000000000000006E-2</v>
      </c>
    </row>
    <row r="5" spans="2:13" ht="12" customHeight="1">
      <c r="B5" s="7" t="s">
        <v>79</v>
      </c>
      <c r="C5" s="69">
        <v>1.4999999999999999E-2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5" customHeight="1" thickBot="1">
      <c r="B7" s="17" t="s">
        <v>154</v>
      </c>
      <c r="C7" s="18" t="s">
        <v>111</v>
      </c>
      <c r="D7" s="18" t="s">
        <v>110</v>
      </c>
      <c r="E7" s="18" t="s">
        <v>109</v>
      </c>
      <c r="F7" s="21"/>
      <c r="G7" s="19" t="s">
        <v>112</v>
      </c>
      <c r="H7" s="19" t="s">
        <v>113</v>
      </c>
      <c r="I7" s="19" t="s">
        <v>114</v>
      </c>
      <c r="J7" s="19" t="s">
        <v>115</v>
      </c>
      <c r="K7" s="19" t="s">
        <v>116</v>
      </c>
      <c r="M7" s="22" t="s">
        <v>42</v>
      </c>
    </row>
    <row r="8" spans="2:13">
      <c r="B8" s="7" t="s">
        <v>69</v>
      </c>
      <c r="D8" s="13">
        <f>'Cash Flow'!D23</f>
        <v>17799.901185566974</v>
      </c>
      <c r="E8" s="13">
        <f>'Cash Flow'!E23</f>
        <v>18357.43742639741</v>
      </c>
      <c r="G8" s="27">
        <f>'Cash Flow'!G23</f>
        <v>726.78680388714201</v>
      </c>
      <c r="H8" s="27">
        <f>'Cash Flow'!H23</f>
        <v>16674.500943538456</v>
      </c>
      <c r="I8" s="27">
        <f>'Cash Flow'!I23</f>
        <v>18675.441056763062</v>
      </c>
      <c r="J8" s="27">
        <f>'Cash Flow'!J23</f>
        <v>20916.493983574648</v>
      </c>
      <c r="K8" s="27">
        <f>'Cash Flow'!K23</f>
        <v>23426.473261603591</v>
      </c>
    </row>
    <row r="9" spans="2:13" ht="3.75" customHeight="1">
      <c r="G9" s="27"/>
      <c r="H9" s="27"/>
      <c r="I9" s="27"/>
      <c r="J9" s="27"/>
      <c r="K9" s="27"/>
    </row>
    <row r="10" spans="2:13">
      <c r="B10" s="7" t="s">
        <v>80</v>
      </c>
      <c r="G10" s="70">
        <f>1/(1+$C$4)^G6</f>
        <v>0.92165898617511521</v>
      </c>
      <c r="H10" s="70">
        <f>1/(1+$C$4)^H6</f>
        <v>0.84945528679734128</v>
      </c>
      <c r="I10" s="70">
        <f>1/(1+$C$4)^I6</f>
        <v>0.78290809843072917</v>
      </c>
      <c r="J10" s="70">
        <f>1/(1+$C$4)^J6</f>
        <v>0.72157428426795334</v>
      </c>
      <c r="K10" s="70">
        <f>1/(1+$C$4)^K6</f>
        <v>0.66504542328843619</v>
      </c>
    </row>
    <row r="11" spans="2:13" ht="12" customHeight="1">
      <c r="B11" s="49" t="s">
        <v>81</v>
      </c>
      <c r="C11" s="49"/>
      <c r="D11" s="49"/>
      <c r="E11" s="49"/>
      <c r="F11" s="50"/>
      <c r="G11" s="71">
        <f>G8*G10</f>
        <v>669.84958883607555</v>
      </c>
      <c r="H11" s="71">
        <f t="shared" ref="H11:K11" si="0">H8*H10</f>
        <v>14164.242981195997</v>
      </c>
      <c r="I11" s="71">
        <f t="shared" si="0"/>
        <v>14621.154045105537</v>
      </c>
      <c r="J11" s="71">
        <f t="shared" si="0"/>
        <v>15092.804175592828</v>
      </c>
      <c r="K11" s="71">
        <f t="shared" si="0"/>
        <v>15579.668826418392</v>
      </c>
    </row>
    <row r="12" spans="2:13" ht="12" customHeight="1">
      <c r="G12" s="42"/>
      <c r="H12" s="13"/>
      <c r="I12" s="13"/>
      <c r="J12" s="13"/>
      <c r="K12" s="13"/>
    </row>
    <row r="13" spans="2:13" ht="12" customHeight="1">
      <c r="G13" s="42"/>
      <c r="H13" s="13"/>
      <c r="I13" s="13"/>
      <c r="J13" s="13"/>
      <c r="K13" s="13"/>
    </row>
    <row r="14" spans="2:13" ht="12" customHeight="1">
      <c r="B14" s="134" t="s">
        <v>0</v>
      </c>
      <c r="C14" s="135"/>
      <c r="D14" s="135"/>
      <c r="E14" s="135"/>
      <c r="F14" s="135"/>
      <c r="G14" s="135"/>
      <c r="H14" s="135"/>
      <c r="I14" s="135"/>
      <c r="J14" s="135"/>
      <c r="K14" s="135"/>
    </row>
    <row r="15" spans="2:13" ht="12" customHeight="1">
      <c r="B15" s="7" t="s">
        <v>82</v>
      </c>
      <c r="C15" s="7">
        <f>SUM(G11:K11)</f>
        <v>60127.719617148832</v>
      </c>
      <c r="D15" s="7" t="s">
        <v>193</v>
      </c>
      <c r="E15" s="24">
        <f>C15/C$18</f>
        <v>0.21021258714421309</v>
      </c>
      <c r="G15" s="42"/>
      <c r="H15" s="13"/>
      <c r="I15" s="13"/>
      <c r="J15" s="13"/>
      <c r="K15" s="13"/>
    </row>
    <row r="16" spans="2:13">
      <c r="B16" s="7" t="s">
        <v>83</v>
      </c>
      <c r="C16" s="7">
        <f>K8*(1+C5)/(C4-C5)</f>
        <v>339683.86229325202</v>
      </c>
      <c r="D16" s="7" t="s">
        <v>193</v>
      </c>
      <c r="E16" s="24"/>
    </row>
    <row r="17" spans="2:11">
      <c r="B17" s="7" t="s">
        <v>84</v>
      </c>
      <c r="C17" s="7">
        <f>C16*K10</f>
        <v>225905.19798306667</v>
      </c>
      <c r="D17" s="7" t="s">
        <v>193</v>
      </c>
      <c r="E17" s="24">
        <f>C17/C$18</f>
        <v>0.7897874128557868</v>
      </c>
    </row>
    <row r="18" spans="2:11" ht="12" customHeight="1">
      <c r="B18" s="72" t="s">
        <v>85</v>
      </c>
      <c r="C18" s="72">
        <f>C17+C15</f>
        <v>286032.91760021553</v>
      </c>
      <c r="D18" s="72" t="s">
        <v>193</v>
      </c>
    </row>
    <row r="19" spans="2:11">
      <c r="B19" s="7" t="s">
        <v>86</v>
      </c>
      <c r="C19" s="7">
        <f>-BS!E17</f>
        <v>-9686.48</v>
      </c>
    </row>
    <row r="20" spans="2:11">
      <c r="B20" s="7" t="s">
        <v>87</v>
      </c>
      <c r="C20" s="7">
        <f>BS!E4</f>
        <v>50056.18</v>
      </c>
    </row>
    <row r="21" spans="2:11" ht="12" customHeight="1">
      <c r="B21" s="72" t="s">
        <v>88</v>
      </c>
      <c r="C21" s="72">
        <f>SUM(C18:C20)</f>
        <v>326402.61760021554</v>
      </c>
      <c r="D21" s="72" t="s">
        <v>194</v>
      </c>
      <c r="G21" s="73">
        <f>C18</f>
        <v>286032.91760021553</v>
      </c>
      <c r="H21" s="101">
        <v>0.08</v>
      </c>
      <c r="I21" s="101">
        <v>8.5000000000000006E-2</v>
      </c>
      <c r="J21" s="101">
        <v>0.09</v>
      </c>
      <c r="K21" s="101">
        <v>9.5000000000000001E-2</v>
      </c>
    </row>
    <row r="22" spans="2:11" ht="12" customHeight="1">
      <c r="D22" s="7">
        <f>C21/3.673</f>
        <v>88865.400925732523</v>
      </c>
      <c r="E22" s="7" t="s">
        <v>240</v>
      </c>
      <c r="G22" s="102">
        <v>0.01</v>
      </c>
      <c r="H22" s="13">
        <f t="dataTable" ref="H22:K25" dt2D="1" dtr="1" r1="C4" r2="C5"/>
        <v>291156.02233252546</v>
      </c>
      <c r="I22" s="13">
        <v>269933.92647958314</v>
      </c>
      <c r="J22" s="13">
        <v>251388.81276893397</v>
      </c>
      <c r="K22" s="13">
        <v>235047.79412403837</v>
      </c>
    </row>
    <row r="23" spans="2:11" ht="12" customHeight="1">
      <c r="D23" s="7">
        <f>D22/1000</f>
        <v>88.86540092573253</v>
      </c>
      <c r="E23" s="7" t="s">
        <v>195</v>
      </c>
      <c r="G23" s="102">
        <v>1.4999999999999999E-2</v>
      </c>
      <c r="H23" s="13">
        <v>310078.17309408204</v>
      </c>
      <c r="I23" s="103">
        <v>286032.91760021553</v>
      </c>
      <c r="J23" s="13">
        <v>265218.73298965453</v>
      </c>
      <c r="K23" s="13">
        <v>247029.30337973929</v>
      </c>
    </row>
    <row r="24" spans="2:11" ht="12" customHeight="1">
      <c r="G24" s="102">
        <v>0.02</v>
      </c>
      <c r="H24" s="13">
        <v>332154.0156492315</v>
      </c>
      <c r="I24" s="13">
        <v>304608.67658556055</v>
      </c>
      <c r="J24" s="13">
        <v>281024.35609904956</v>
      </c>
      <c r="K24" s="13">
        <v>260608.34720286701</v>
      </c>
    </row>
    <row r="25" spans="2:11" ht="12" customHeight="1">
      <c r="G25" s="102">
        <v>2.5000000000000001E-2</v>
      </c>
      <c r="H25" s="13">
        <v>358243.64775986259</v>
      </c>
      <c r="I25" s="13">
        <v>326280.39540179633</v>
      </c>
      <c r="J25" s="13">
        <v>299261.6135329667</v>
      </c>
      <c r="K25" s="13">
        <v>276127.25442929863</v>
      </c>
    </row>
    <row r="26" spans="2:11">
      <c r="D26" s="24"/>
    </row>
    <row r="28" spans="2:11">
      <c r="D28" s="24"/>
    </row>
    <row r="31" spans="2:11">
      <c r="C31" s="24"/>
    </row>
  </sheetData>
  <mergeCells count="1">
    <mergeCell ref="B14:K1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>
      <selection activeCell="I11" sqref="I11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K6"/>
  <sheetViews>
    <sheetView zoomScale="140" workbookViewId="0">
      <selection activeCell="G5" sqref="G5"/>
    </sheetView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 customWidth="1"/>
    <col min="6" max="6" width="2" style="1" customWidth="1"/>
    <col min="7" max="7" width="9.1640625" style="1" customWidth="1"/>
    <col min="8" max="16384" width="9.1640625" style="1"/>
  </cols>
  <sheetData>
    <row r="1" spans="2:11" ht="15.5" customHeight="1">
      <c r="B1" s="2" t="s">
        <v>89</v>
      </c>
    </row>
    <row r="2" spans="2:11">
      <c r="B2" s="1" t="s">
        <v>153</v>
      </c>
    </row>
    <row r="3" spans="2:11" ht="24.5" customHeight="1" thickBot="1">
      <c r="B3" s="17" t="str">
        <f>'P&amp;L'!B3</f>
        <v>AED in millions*</v>
      </c>
      <c r="C3" s="18" t="str">
        <f>'P&amp;L'!C3</f>
        <v>FY22
Actual</v>
      </c>
      <c r="D3" s="18" t="str">
        <f>'P&amp;L'!D3</f>
        <v>FY23
Actual</v>
      </c>
      <c r="E3" s="18" t="str">
        <f>'P&amp;L'!E3</f>
        <v>FY24
Actual</v>
      </c>
      <c r="F3" s="21"/>
      <c r="G3" s="19" t="str">
        <f>'P&amp;L'!G3</f>
        <v>FY25
Forecast</v>
      </c>
      <c r="H3" s="19" t="str">
        <f>'P&amp;L'!H3</f>
        <v>FY26
Forecast</v>
      </c>
      <c r="I3" s="19" t="str">
        <f>'P&amp;L'!I3</f>
        <v>FY27
Forecast</v>
      </c>
      <c r="J3" s="19" t="str">
        <f>'P&amp;L'!J3</f>
        <v>FY28
Forecast</v>
      </c>
      <c r="K3" s="19" t="str">
        <f>'P&amp;L'!K3</f>
        <v>FY29
Forecast</v>
      </c>
    </row>
    <row r="4" spans="2:11">
      <c r="B4" s="1" t="str">
        <f>'P&amp;L'!B4</f>
        <v>Revenues</v>
      </c>
      <c r="C4" s="74">
        <f>'P&amp;L'!C4</f>
        <v>24925.68</v>
      </c>
      <c r="D4" s="74">
        <f>'P&amp;L'!D4</f>
        <v>26749.83</v>
      </c>
      <c r="E4" s="74">
        <f>'P&amp;L'!E4</f>
        <v>35504.93</v>
      </c>
      <c r="F4" s="74"/>
      <c r="G4" s="75">
        <f>'P&amp;L'!G4</f>
        <v>39765.521600000007</v>
      </c>
      <c r="H4" s="75">
        <f>'P&amp;L'!H4</f>
        <v>44537.384192000012</v>
      </c>
      <c r="I4" s="75">
        <f>'P&amp;L'!I4</f>
        <v>49881.870295040018</v>
      </c>
      <c r="J4" s="75">
        <f>'P&amp;L'!J4</f>
        <v>55867.694730444826</v>
      </c>
      <c r="K4" s="75">
        <f>'P&amp;L'!K4</f>
        <v>62571.818098098214</v>
      </c>
    </row>
    <row r="5" spans="2:11">
      <c r="B5" s="1" t="s">
        <v>44</v>
      </c>
      <c r="C5" s="74">
        <f>'P&amp;L'!C10</f>
        <v>9325.369999999999</v>
      </c>
      <c r="D5" s="74">
        <f>'P&amp;L'!D10</f>
        <v>14404.550000000001</v>
      </c>
      <c r="E5" s="74">
        <f>'P&amp;L'!E10</f>
        <v>17563.07</v>
      </c>
      <c r="F5" s="74"/>
      <c r="G5" s="75">
        <f>'P&amp;L'!G10</f>
        <v>19882.760800000004</v>
      </c>
      <c r="H5" s="75">
        <f>'P&amp;L'!H10</f>
        <v>22268.692096000006</v>
      </c>
      <c r="I5" s="75">
        <f>'P&amp;L'!I10</f>
        <v>24940.935147520009</v>
      </c>
      <c r="J5" s="75">
        <f>'P&amp;L'!J10</f>
        <v>27933.847365222413</v>
      </c>
      <c r="K5" s="75">
        <f>'P&amp;L'!K10</f>
        <v>31285.909049049107</v>
      </c>
    </row>
    <row r="6" spans="2:11">
      <c r="B6" s="1" t="s">
        <v>90</v>
      </c>
      <c r="C6" s="25">
        <f>C5/C4</f>
        <v>0.37412700475974975</v>
      </c>
      <c r="D6" s="25">
        <f>D5/D4</f>
        <v>0.53849127265481689</v>
      </c>
      <c r="E6" s="25">
        <f>E5/E4</f>
        <v>0.49466567037310027</v>
      </c>
      <c r="F6" s="25"/>
      <c r="G6" s="76">
        <f>G5/G4</f>
        <v>0.5</v>
      </c>
      <c r="H6" s="76">
        <f>H5/H4</f>
        <v>0.5</v>
      </c>
      <c r="I6" s="76">
        <f>I5/I4</f>
        <v>0.5</v>
      </c>
      <c r="J6" s="76">
        <f>J5/J4</f>
        <v>0.5</v>
      </c>
      <c r="K6" s="76">
        <f>K5/K4</f>
        <v>0.5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G5"/>
  <sheetViews>
    <sheetView workbookViewId="0">
      <selection activeCell="C4" sqref="C4"/>
    </sheetView>
  </sheetViews>
  <sheetFormatPr baseColWidth="10" defaultColWidth="9.1640625" defaultRowHeight="12"/>
  <cols>
    <col min="1" max="1" width="2" style="1" customWidth="1"/>
    <col min="2" max="2" width="19.5" style="1" bestFit="1" customWidth="1"/>
    <col min="3" max="3" width="9.1640625" style="1" customWidth="1"/>
    <col min="4" max="16384" width="9.1640625" style="1"/>
  </cols>
  <sheetData>
    <row r="1" spans="2:7" ht="15.5" customHeight="1">
      <c r="B1" s="2" t="s">
        <v>14</v>
      </c>
    </row>
    <row r="2" spans="2:7">
      <c r="B2" s="1" t="s">
        <v>153</v>
      </c>
    </row>
    <row r="3" spans="2:7" ht="24.5" customHeight="1" thickBot="1">
      <c r="B3" s="17" t="s">
        <v>131</v>
      </c>
      <c r="C3" s="19" t="s">
        <v>112</v>
      </c>
      <c r="D3" s="19" t="s">
        <v>113</v>
      </c>
      <c r="E3" s="19" t="s">
        <v>114</v>
      </c>
      <c r="F3" s="19" t="s">
        <v>115</v>
      </c>
      <c r="G3" s="19" t="s">
        <v>116</v>
      </c>
    </row>
    <row r="4" spans="2:7">
      <c r="B4" s="7" t="s">
        <v>69</v>
      </c>
      <c r="C4" s="27">
        <f>'DCF valuation'!G8</f>
        <v>726.78680388714201</v>
      </c>
      <c r="D4" s="27">
        <f>'DCF valuation'!H8</f>
        <v>16674.500943538456</v>
      </c>
      <c r="E4" s="27">
        <f>'DCF valuation'!I8</f>
        <v>18675.441056763062</v>
      </c>
      <c r="F4" s="27">
        <f>'DCF valuation'!J8</f>
        <v>20916.493983574648</v>
      </c>
      <c r="G4" s="27">
        <f>'DCF valuation'!K8</f>
        <v>23426.473261603591</v>
      </c>
    </row>
    <row r="5" spans="2:7">
      <c r="B5" s="7" t="s">
        <v>81</v>
      </c>
      <c r="C5" s="27">
        <f>'DCF valuation'!G11</f>
        <v>669.84958883607555</v>
      </c>
      <c r="D5" s="27">
        <f>'DCF valuation'!H11</f>
        <v>14164.242981195997</v>
      </c>
      <c r="E5" s="27">
        <f>'DCF valuation'!I11</f>
        <v>14621.154045105537</v>
      </c>
      <c r="F5" s="27">
        <f>'DCF valuation'!J11</f>
        <v>15092.804175592828</v>
      </c>
      <c r="G5" s="27">
        <f>'DCF valuation'!K11</f>
        <v>15579.668826418392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O7"/>
  <sheetViews>
    <sheetView zoomScale="134" workbookViewId="0">
      <selection activeCell="O8" sqref="O8"/>
    </sheetView>
  </sheetViews>
  <sheetFormatPr baseColWidth="10" defaultColWidth="9.1640625" defaultRowHeight="12"/>
  <cols>
    <col min="1" max="1" width="2" style="1" customWidth="1"/>
    <col min="2" max="2" width="16.83203125" style="1" bestFit="1" customWidth="1"/>
    <col min="3" max="16384" width="9.1640625" style="1"/>
  </cols>
  <sheetData>
    <row r="1" spans="2:15" ht="15.5" customHeight="1">
      <c r="B1" s="2" t="s">
        <v>15</v>
      </c>
    </row>
    <row r="2" spans="2:15">
      <c r="K2" s="77">
        <f>C3</f>
        <v>17563.07</v>
      </c>
      <c r="L2" s="77">
        <f>K2</f>
        <v>17563.07</v>
      </c>
      <c r="M2" s="78">
        <f>L2+L3+C5</f>
        <v>19848.847312000005</v>
      </c>
      <c r="N2" s="78">
        <f>M2</f>
        <v>19848.847312000005</v>
      </c>
      <c r="O2" s="79"/>
    </row>
    <row r="3" spans="2:15">
      <c r="B3" s="1" t="s">
        <v>196</v>
      </c>
      <c r="C3" s="1">
        <f>'P&amp;L'!E10</f>
        <v>17563.07</v>
      </c>
      <c r="K3" s="80">
        <v>0</v>
      </c>
      <c r="L3" s="77">
        <f>C4</f>
        <v>4260.591600000007</v>
      </c>
      <c r="M3" s="78">
        <f>-C5</f>
        <v>1974.8142880000032</v>
      </c>
      <c r="N3" s="78">
        <f>C6</f>
        <v>33.913487999999234</v>
      </c>
      <c r="O3" s="78">
        <f>N3+N2</f>
        <v>19882.760800000004</v>
      </c>
    </row>
    <row r="4" spans="2:15" ht="27" customHeight="1">
      <c r="B4" s="1" t="s">
        <v>91</v>
      </c>
      <c r="C4" s="1">
        <f>'P&amp;L'!G4-'P&amp;L'!E4</f>
        <v>4260.591600000007</v>
      </c>
      <c r="K4" s="81" t="str">
        <f>B3</f>
        <v>EBITDA FY24</v>
      </c>
      <c r="L4" s="82" t="str">
        <f>B4</f>
        <v>Delta Revenues</v>
      </c>
      <c r="M4" s="82" t="str">
        <f>B5</f>
        <v>Delta Cost of Revenue</v>
      </c>
      <c r="N4" s="82" t="str">
        <f>B6</f>
        <v>Delta Opex</v>
      </c>
      <c r="O4" s="83" t="str">
        <f>B7</f>
        <v>EBITDA FY25</v>
      </c>
    </row>
    <row r="5" spans="2:15">
      <c r="B5" s="1" t="s">
        <v>197</v>
      </c>
      <c r="C5" s="1">
        <f>'P&amp;L'!G6-'P&amp;L'!E6</f>
        <v>-1974.8142880000032</v>
      </c>
    </row>
    <row r="6" spans="2:15">
      <c r="B6" s="1" t="s">
        <v>92</v>
      </c>
      <c r="C6" s="1">
        <f>'P&amp;L'!G9-'P&amp;L'!E9</f>
        <v>33.913487999999234</v>
      </c>
    </row>
    <row r="7" spans="2:15">
      <c r="B7" s="1" t="s">
        <v>198</v>
      </c>
    </row>
  </sheetData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K10"/>
  <sheetViews>
    <sheetView topLeftCell="A7" zoomScale="138" workbookViewId="0">
      <selection activeCell="N34" sqref="N34"/>
    </sheetView>
  </sheetViews>
  <sheetFormatPr baseColWidth="10" defaultColWidth="9.1640625" defaultRowHeight="12"/>
  <cols>
    <col min="1" max="1" width="2" style="1" customWidth="1"/>
    <col min="2" max="2" width="47.6640625" style="1" bestFit="1" customWidth="1"/>
    <col min="3" max="5" width="9.1640625" style="1" customWidth="1"/>
    <col min="6" max="6" width="2" style="1" customWidth="1"/>
    <col min="7" max="7" width="9.1640625" style="1" customWidth="1"/>
    <col min="8" max="16384" width="9.1640625" style="1"/>
  </cols>
  <sheetData>
    <row r="1" spans="2:11" ht="15.5" customHeight="1">
      <c r="B1" s="2" t="s">
        <v>16</v>
      </c>
    </row>
    <row r="2" spans="2:11">
      <c r="B2" s="1" t="s">
        <v>153</v>
      </c>
    </row>
    <row r="3" spans="2:11" ht="24.5" customHeight="1" thickBot="1">
      <c r="B3" s="17" t="str">
        <f>BS!B3</f>
        <v>AED in millions</v>
      </c>
      <c r="C3" s="18" t="str">
        <f>BS!C3</f>
        <v>31Dec22
Actual</v>
      </c>
      <c r="D3" s="18" t="str">
        <f>BS!D3</f>
        <v>31Dec23
Actual</v>
      </c>
      <c r="E3" s="18" t="str">
        <f>BS!E3</f>
        <v>31Dec24
Actual</v>
      </c>
      <c r="F3" s="21"/>
      <c r="G3" s="19" t="str">
        <f>BS!G3</f>
        <v>31Dec25
Forecast</v>
      </c>
      <c r="H3" s="19" t="str">
        <f>BS!H3</f>
        <v>31Dec26
Forecast</v>
      </c>
      <c r="I3" s="19" t="str">
        <f>BS!I3</f>
        <v>31Dec27
Forecast</v>
      </c>
      <c r="J3" s="19" t="str">
        <f>BS!J3</f>
        <v>31Dec28
Forecast</v>
      </c>
      <c r="K3" s="19" t="str">
        <f>BS!K3</f>
        <v>31Dec29
Forecast</v>
      </c>
    </row>
    <row r="4" spans="2:11">
      <c r="B4" s="11" t="str">
        <f>BS!B10</f>
        <v>Investment properties</v>
      </c>
      <c r="C4" s="74">
        <f>BS!C10</f>
        <v>22688.26</v>
      </c>
      <c r="D4" s="74">
        <f>BS!D10</f>
        <v>21493.52</v>
      </c>
      <c r="E4" s="74">
        <f>BS!E10</f>
        <v>21340.22</v>
      </c>
      <c r="F4" s="74"/>
      <c r="G4" s="75">
        <f>BS!G10</f>
        <v>30682.904411873391</v>
      </c>
      <c r="H4" s="75">
        <f>BS!H10</f>
        <v>34364.852941298202</v>
      </c>
      <c r="I4" s="75">
        <f>BS!I10</f>
        <v>38488.635294253989</v>
      </c>
      <c r="J4" s="75">
        <f>BS!J10</f>
        <v>43107.271529564474</v>
      </c>
      <c r="K4" s="75">
        <f>BS!K10</f>
        <v>48280.144113112219</v>
      </c>
    </row>
    <row r="5" spans="2:11">
      <c r="B5" s="1" t="str">
        <f>BS!B11</f>
        <v>Intangible assets</v>
      </c>
      <c r="C5" s="74">
        <f>BS!C$11</f>
        <v>211.94</v>
      </c>
      <c r="D5" s="74">
        <f>BS!D$11</f>
        <v>219.72</v>
      </c>
      <c r="E5" s="74">
        <f>BS!E$11</f>
        <v>574.36</v>
      </c>
      <c r="F5" s="74">
        <f>BS!F$11</f>
        <v>0</v>
      </c>
      <c r="G5" s="74">
        <f>BS!G$11</f>
        <v>574.36</v>
      </c>
      <c r="H5" s="74">
        <f>BS!H$11</f>
        <v>574.36</v>
      </c>
      <c r="I5" s="74">
        <f>BS!I$11</f>
        <v>574.36</v>
      </c>
      <c r="J5" s="74">
        <f>BS!J$11</f>
        <v>574.36</v>
      </c>
      <c r="K5" s="74">
        <f>BS!K$11</f>
        <v>574.36</v>
      </c>
    </row>
    <row r="6" spans="2:11">
      <c r="B6" s="1" t="str">
        <f>BS!B16</f>
        <v>Advances from customers</v>
      </c>
      <c r="C6" s="74">
        <f>BS!C$16</f>
        <v>19563.73</v>
      </c>
      <c r="D6" s="74">
        <f>BS!D$16</f>
        <v>22857.58</v>
      </c>
      <c r="E6" s="74">
        <f>BS!E$16</f>
        <v>32495.29</v>
      </c>
      <c r="F6" s="74">
        <f>BS!F$16</f>
        <v>0</v>
      </c>
      <c r="G6" s="74">
        <f>BS!G$16</f>
        <v>33861.800790231369</v>
      </c>
      <c r="H6" s="74">
        <f>BS!H$16</f>
        <v>37925.216885059141</v>
      </c>
      <c r="I6" s="74">
        <f>BS!I$16</f>
        <v>42476.242911266236</v>
      </c>
      <c r="J6" s="74">
        <f>BS!J$16</f>
        <v>47573.392060618193</v>
      </c>
      <c r="K6" s="74">
        <f>BS!K$16</f>
        <v>53282.199107892382</v>
      </c>
    </row>
    <row r="7" spans="2:11" ht="12" customHeight="1">
      <c r="B7" s="84" t="s">
        <v>16</v>
      </c>
      <c r="C7" s="85">
        <f>C4+C5-C6</f>
        <v>3336.4699999999975</v>
      </c>
      <c r="D7" s="85">
        <f>D4+D5-D6</f>
        <v>-1144.3400000000001</v>
      </c>
      <c r="E7" s="85">
        <f>E4+E5-E6</f>
        <v>-10580.71</v>
      </c>
      <c r="F7" s="85"/>
      <c r="G7" s="86">
        <f>G4+G5-G6</f>
        <v>-2604.5363783579778</v>
      </c>
      <c r="H7" s="86">
        <f>H4+H5-H6</f>
        <v>-2986.0039437609375</v>
      </c>
      <c r="I7" s="86">
        <f>I4+I5-I6</f>
        <v>-3413.2476170122463</v>
      </c>
      <c r="J7" s="86">
        <f>J4+J5-J6</f>
        <v>-3891.7605310537183</v>
      </c>
      <c r="K7" s="86">
        <f>K4+K5-K6</f>
        <v>-4427.6949947801622</v>
      </c>
    </row>
    <row r="9" spans="2:11">
      <c r="B9" s="11" t="s">
        <v>199</v>
      </c>
      <c r="C9" s="74">
        <f>'BS assumptions'!C6</f>
        <v>320.89820618735376</v>
      </c>
      <c r="D9" s="74">
        <f>'BS assumptions'!D6</f>
        <v>232.21924027180731</v>
      </c>
      <c r="E9" s="74">
        <f>'BS assumptions'!E6</f>
        <v>157.0018811472097</v>
      </c>
      <c r="F9" s="74"/>
      <c r="G9" s="75">
        <f>'BS assumptions'!G6</f>
        <v>157.0018811472097</v>
      </c>
      <c r="H9" s="75">
        <f>'BS assumptions'!H6</f>
        <v>157.0018811472097</v>
      </c>
      <c r="I9" s="75">
        <f>'BS assumptions'!I6</f>
        <v>157.0018811472097</v>
      </c>
      <c r="J9" s="75">
        <f>'BS assumptions'!J6</f>
        <v>157.0018811472097</v>
      </c>
      <c r="K9" s="75">
        <f>'BS assumptions'!K6</f>
        <v>157.0018811472097</v>
      </c>
    </row>
    <row r="10" spans="2:11">
      <c r="B10" s="1" t="s">
        <v>200</v>
      </c>
      <c r="C10" s="74">
        <f>'BS assumptions'!C18</f>
        <v>283.94465466940113</v>
      </c>
      <c r="D10" s="74">
        <f>'BS assumptions'!D18</f>
        <v>198.33730532119267</v>
      </c>
      <c r="E10" s="74">
        <f>'BS assumptions'!E18</f>
        <v>178.15832336523408</v>
      </c>
      <c r="F10" s="74">
        <f>'BS assumptions'!F18</f>
        <v>0</v>
      </c>
      <c r="G10" s="74">
        <f>'BS assumptions'!G18</f>
        <v>178.15832336523408</v>
      </c>
      <c r="H10" s="74">
        <f>'BS assumptions'!H18</f>
        <v>178.15832336523408</v>
      </c>
      <c r="I10" s="74">
        <f>'BS assumptions'!I18</f>
        <v>178.15832336523408</v>
      </c>
      <c r="J10" s="74">
        <f>'BS assumptions'!J18</f>
        <v>178.15832336523408</v>
      </c>
      <c r="K10" s="74">
        <f>'BS assumptions'!K18</f>
        <v>178.15832336523408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P30"/>
  <sheetViews>
    <sheetView workbookViewId="0">
      <selection activeCell="O6" sqref="O6"/>
    </sheetView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 customWidth="1"/>
    <col min="7" max="7" width="19.1640625" style="1" bestFit="1" customWidth="1"/>
    <col min="8" max="12" width="9.1640625" style="1" customWidth="1"/>
    <col min="13" max="13" width="19.1640625" style="1" bestFit="1" customWidth="1"/>
    <col min="14" max="14" width="9.1640625" style="1" customWidth="1"/>
    <col min="15" max="16384" width="9.1640625" style="1"/>
  </cols>
  <sheetData>
    <row r="1" spans="2:16" ht="15.5" customHeight="1">
      <c r="B1" s="2" t="s">
        <v>17</v>
      </c>
    </row>
    <row r="4" spans="2:16" ht="12.5" customHeight="1" thickBot="1">
      <c r="B4" s="87" t="s">
        <v>93</v>
      </c>
      <c r="C4" s="88"/>
      <c r="G4" s="87" t="s">
        <v>94</v>
      </c>
      <c r="H4" s="88"/>
      <c r="M4" s="87" t="s">
        <v>95</v>
      </c>
      <c r="N4" s="88"/>
    </row>
    <row r="5" spans="2:16">
      <c r="B5" s="1" t="s">
        <v>96</v>
      </c>
      <c r="C5" s="7">
        <v>286032.91760021553</v>
      </c>
      <c r="D5" s="7">
        <f>C5/3.673</f>
        <v>77874.467084186093</v>
      </c>
      <c r="E5" s="7" t="s">
        <v>240</v>
      </c>
      <c r="G5" s="1" t="s">
        <v>96</v>
      </c>
      <c r="H5" s="7">
        <v>222431.11927199084</v>
      </c>
      <c r="I5" s="7">
        <f>H5/3.673</f>
        <v>60558.431601413242</v>
      </c>
      <c r="J5" s="7" t="s">
        <v>240</v>
      </c>
      <c r="M5" s="1" t="s">
        <v>96</v>
      </c>
      <c r="N5" s="111">
        <v>187268.30785839204</v>
      </c>
      <c r="O5" s="7">
        <f>N5/3.673</f>
        <v>50985.109681021517</v>
      </c>
      <c r="P5" s="7" t="s">
        <v>240</v>
      </c>
    </row>
    <row r="6" spans="2:16">
      <c r="B6" s="1" t="s">
        <v>97</v>
      </c>
      <c r="C6" s="93">
        <v>0.21021258714421309</v>
      </c>
      <c r="D6" s="7">
        <f>D5/1000</f>
        <v>77.874467084186094</v>
      </c>
      <c r="E6" s="7" t="s">
        <v>195</v>
      </c>
      <c r="G6" s="1" t="s">
        <v>97</v>
      </c>
      <c r="H6" s="24">
        <v>0.19568536778861387</v>
      </c>
      <c r="I6" s="7">
        <f>I5/1000</f>
        <v>60.55843160141324</v>
      </c>
      <c r="J6" s="7" t="s">
        <v>195</v>
      </c>
      <c r="M6" s="1" t="s">
        <v>97</v>
      </c>
      <c r="N6" s="24">
        <v>0.18696001471109336</v>
      </c>
      <c r="O6" s="7">
        <f>O5/1000</f>
        <v>50.98510968102152</v>
      </c>
      <c r="P6" s="7" t="s">
        <v>195</v>
      </c>
    </row>
    <row r="7" spans="2:16">
      <c r="B7" s="1" t="s">
        <v>98</v>
      </c>
      <c r="C7" s="93">
        <v>0.7897874128557868</v>
      </c>
      <c r="G7" s="1" t="s">
        <v>98</v>
      </c>
      <c r="H7" s="24">
        <v>0.8043146322113861</v>
      </c>
      <c r="M7" s="1" t="s">
        <v>98</v>
      </c>
      <c r="N7" s="24">
        <v>0.81303998528890664</v>
      </c>
    </row>
    <row r="27" spans="3:13">
      <c r="H27" s="24"/>
    </row>
    <row r="30" spans="3:13">
      <c r="C30" s="93"/>
      <c r="M30" s="24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7"/>
  <sheetViews>
    <sheetView zoomScale="130" zoomScaleNormal="130" workbookViewId="0">
      <selection activeCell="B18" sqref="B18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99</v>
      </c>
    </row>
    <row r="13" spans="2:2" ht="15">
      <c r="B13" s="90" t="s">
        <v>132</v>
      </c>
    </row>
    <row r="15" spans="2:2">
      <c r="B15" s="1" t="s">
        <v>159</v>
      </c>
    </row>
    <row r="16" spans="2:2">
      <c r="B16" s="1" t="s">
        <v>160</v>
      </c>
    </row>
    <row r="17" spans="2:2">
      <c r="B17" s="1" t="s">
        <v>161</v>
      </c>
    </row>
  </sheetData>
  <hyperlinks>
    <hyperlink ref="B13" r:id="rId1" xr:uid="{7F06D8E9-1403-804F-84B5-12F7E0AAC4E2}"/>
  </hyperlink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48"/>
  <sheetViews>
    <sheetView zoomScale="125" zoomScaleNormal="130" workbookViewId="0">
      <selection activeCell="D20" sqref="D20"/>
    </sheetView>
  </sheetViews>
  <sheetFormatPr baseColWidth="10" defaultColWidth="9.1640625" defaultRowHeight="12"/>
  <cols>
    <col min="1" max="1" width="2" style="7" customWidth="1"/>
    <col min="2" max="2" width="42.83203125" style="7" bestFit="1" customWidth="1"/>
    <col min="3" max="3" width="9.1640625" style="7" customWidth="1"/>
    <col min="4" max="6" width="10.5" style="7" bestFit="1" customWidth="1"/>
    <col min="7" max="7" width="9.1640625" style="7" customWidth="1"/>
    <col min="8" max="8" width="48.83203125" style="7" bestFit="1" customWidth="1"/>
    <col min="9" max="16384" width="9.1640625" style="7"/>
  </cols>
  <sheetData>
    <row r="1" spans="2:13" ht="15.5" customHeight="1">
      <c r="B1" s="6" t="s">
        <v>19</v>
      </c>
    </row>
    <row r="2" spans="2:13">
      <c r="B2" s="7" t="s">
        <v>153</v>
      </c>
    </row>
    <row r="3" spans="2:13" ht="24" customHeight="1">
      <c r="B3" s="8" t="s">
        <v>154</v>
      </c>
      <c r="C3" s="8"/>
      <c r="D3" s="9" t="s">
        <v>125</v>
      </c>
      <c r="E3" s="9" t="s">
        <v>126</v>
      </c>
      <c r="F3" s="9" t="s">
        <v>127</v>
      </c>
      <c r="H3" s="91"/>
      <c r="I3" s="91"/>
      <c r="J3" s="108"/>
      <c r="K3" s="108"/>
      <c r="L3" s="108"/>
    </row>
    <row r="4" spans="2:13">
      <c r="B4" s="7" t="s">
        <v>133</v>
      </c>
      <c r="D4" s="13">
        <f>13244.13+3024.49</f>
        <v>16268.619999999999</v>
      </c>
      <c r="E4" s="13">
        <f>16526.04+1307.31</f>
        <v>17833.350000000002</v>
      </c>
      <c r="F4" s="13">
        <f>24967.79+1562.79</f>
        <v>26530.58</v>
      </c>
      <c r="J4" s="13"/>
      <c r="K4" s="13"/>
      <c r="L4" s="13"/>
    </row>
    <row r="5" spans="2:13">
      <c r="B5" s="7" t="s">
        <v>134</v>
      </c>
      <c r="D5" s="13">
        <v>1559.27</v>
      </c>
      <c r="E5" s="13">
        <v>1791.55</v>
      </c>
      <c r="F5" s="13">
        <v>2015.01</v>
      </c>
      <c r="J5" s="13"/>
      <c r="K5" s="13"/>
      <c r="L5" s="13"/>
    </row>
    <row r="6" spans="2:13">
      <c r="B6" s="7" t="s">
        <v>135</v>
      </c>
      <c r="D6" s="13">
        <v>7097.79</v>
      </c>
      <c r="E6" s="13">
        <v>7124.93</v>
      </c>
      <c r="F6" s="13">
        <v>6959.34</v>
      </c>
      <c r="J6" s="13"/>
      <c r="K6" s="13"/>
      <c r="L6" s="13"/>
      <c r="M6" s="47"/>
    </row>
    <row r="7" spans="2:13" ht="12" customHeight="1">
      <c r="B7" s="107" t="s">
        <v>100</v>
      </c>
      <c r="C7" s="32"/>
      <c r="D7" s="33">
        <f>D4+D5+D6</f>
        <v>24925.68</v>
      </c>
      <c r="E7" s="33">
        <f>E4+E5+E6</f>
        <v>26749.83</v>
      </c>
      <c r="F7" s="33">
        <f>F4+F5+F6</f>
        <v>35504.93</v>
      </c>
      <c r="H7" s="104"/>
      <c r="I7" s="91"/>
      <c r="J7" s="92"/>
      <c r="K7" s="92"/>
      <c r="L7" s="92"/>
    </row>
    <row r="8" spans="2:13">
      <c r="D8" s="13"/>
      <c r="E8" s="13"/>
      <c r="F8" s="13"/>
      <c r="J8" s="13"/>
      <c r="K8" s="13"/>
      <c r="L8" s="13"/>
    </row>
    <row r="9" spans="2:13">
      <c r="B9" s="7" t="s">
        <v>136</v>
      </c>
      <c r="D9" s="13">
        <v>-7922.36</v>
      </c>
      <c r="E9" s="13">
        <v>-6749.14</v>
      </c>
      <c r="F9" s="13">
        <v>-12350.88</v>
      </c>
      <c r="J9" s="13"/>
      <c r="K9" s="13"/>
      <c r="L9" s="13"/>
    </row>
    <row r="10" spans="2:13">
      <c r="B10" s="7" t="s">
        <v>137</v>
      </c>
      <c r="D10" s="13">
        <v>-1361.55</v>
      </c>
      <c r="E10" s="13">
        <v>-727.03</v>
      </c>
      <c r="F10" s="13">
        <v>-767.73</v>
      </c>
      <c r="J10" s="13"/>
      <c r="K10" s="13"/>
      <c r="L10" s="13"/>
    </row>
    <row r="11" spans="2:13">
      <c r="B11" s="7" t="s">
        <v>138</v>
      </c>
      <c r="D11" s="13">
        <v>-275.73</v>
      </c>
      <c r="E11" s="13">
        <v>-756</v>
      </c>
      <c r="F11" s="13">
        <v>0</v>
      </c>
      <c r="J11" s="13"/>
      <c r="K11" s="13"/>
      <c r="L11" s="13"/>
    </row>
    <row r="12" spans="2:13">
      <c r="B12" s="7" t="s">
        <v>139</v>
      </c>
      <c r="D12" s="13">
        <v>-719.36</v>
      </c>
      <c r="E12" s="13">
        <v>-777.25</v>
      </c>
      <c r="F12" s="13">
        <v>-955.84</v>
      </c>
      <c r="J12" s="13"/>
      <c r="K12" s="13"/>
      <c r="L12" s="13"/>
    </row>
    <row r="13" spans="2:13">
      <c r="B13" s="7" t="s">
        <v>140</v>
      </c>
      <c r="D13" s="13">
        <v>-2059.36</v>
      </c>
      <c r="E13" s="13">
        <v>-875.08</v>
      </c>
      <c r="F13" s="13">
        <v>-1049.9100000000001</v>
      </c>
      <c r="J13" s="13"/>
      <c r="K13" s="13"/>
      <c r="L13" s="13"/>
    </row>
    <row r="14" spans="2:13">
      <c r="B14" s="107" t="s">
        <v>142</v>
      </c>
      <c r="C14" s="32"/>
      <c r="D14" s="33">
        <f>SUM(D9:D13)</f>
        <v>-12338.36</v>
      </c>
      <c r="E14" s="33">
        <f>SUM(E9:E13)</f>
        <v>-9884.5</v>
      </c>
      <c r="F14" s="33">
        <f>SUM(F9:F13)</f>
        <v>-15124.359999999999</v>
      </c>
      <c r="H14" s="104"/>
      <c r="I14" s="91"/>
      <c r="J14" s="92"/>
      <c r="K14" s="92"/>
      <c r="L14" s="92"/>
    </row>
    <row r="15" spans="2:13">
      <c r="B15" s="107" t="s">
        <v>141</v>
      </c>
      <c r="C15" s="32"/>
      <c r="D15" s="33">
        <f>D7+D14</f>
        <v>12587.32</v>
      </c>
      <c r="E15" s="33">
        <f>E7+E14</f>
        <v>16865.330000000002</v>
      </c>
      <c r="F15" s="33">
        <f>F7+F14</f>
        <v>20380.57</v>
      </c>
      <c r="H15" s="104"/>
      <c r="I15" s="91"/>
      <c r="J15" s="92"/>
      <c r="K15" s="92"/>
      <c r="L15" s="92"/>
    </row>
    <row r="16" spans="2:13">
      <c r="B16" s="91"/>
      <c r="C16" s="91"/>
      <c r="D16" s="92"/>
      <c r="E16" s="92"/>
      <c r="F16" s="92"/>
      <c r="H16" s="91"/>
      <c r="I16" s="91"/>
      <c r="J16" s="92"/>
      <c r="K16" s="92"/>
      <c r="L16" s="92"/>
    </row>
    <row r="17" spans="2:12">
      <c r="B17" s="104"/>
      <c r="C17" s="91"/>
      <c r="D17" s="13"/>
      <c r="E17" s="13"/>
      <c r="F17" s="13"/>
      <c r="H17" s="104"/>
      <c r="I17" s="91"/>
      <c r="J17" s="13"/>
      <c r="K17" s="13"/>
      <c r="L17" s="13"/>
    </row>
    <row r="18" spans="2:12">
      <c r="B18" s="7" t="s">
        <v>143</v>
      </c>
      <c r="D18" s="13">
        <v>419.89</v>
      </c>
      <c r="E18" s="13">
        <v>553.24</v>
      </c>
      <c r="F18" s="13">
        <v>654.20000000000005</v>
      </c>
      <c r="J18" s="13"/>
      <c r="K18" s="13"/>
      <c r="L18" s="13"/>
    </row>
    <row r="19" spans="2:12">
      <c r="B19" s="7" t="s">
        <v>101</v>
      </c>
      <c r="D19" s="13">
        <v>-160.04</v>
      </c>
      <c r="E19" s="13">
        <v>-228.06</v>
      </c>
      <c r="F19" s="13">
        <v>-239.42</v>
      </c>
      <c r="J19" s="13"/>
      <c r="K19" s="13"/>
      <c r="L19" s="13"/>
    </row>
    <row r="20" spans="2:12">
      <c r="B20" s="7" t="s">
        <v>144</v>
      </c>
      <c r="D20" s="13">
        <v>-3521.8</v>
      </c>
      <c r="E20" s="13">
        <v>-2785.96</v>
      </c>
      <c r="F20" s="13">
        <v>-3232.28</v>
      </c>
      <c r="J20" s="13"/>
      <c r="K20" s="13"/>
      <c r="L20" s="13"/>
    </row>
    <row r="21" spans="2:12">
      <c r="B21" s="105" t="s">
        <v>190</v>
      </c>
      <c r="D21" s="13">
        <f>SUM(D18:D20)</f>
        <v>-3261.9500000000003</v>
      </c>
      <c r="E21" s="13">
        <f t="shared" ref="E21" si="0">SUM(E18:E20)</f>
        <v>-2460.7800000000002</v>
      </c>
      <c r="F21" s="13">
        <f>SUM(F18:F20)</f>
        <v>-2817.5</v>
      </c>
      <c r="J21" s="13"/>
      <c r="K21" s="13"/>
      <c r="L21" s="13"/>
    </row>
    <row r="22" spans="2:12" ht="12" customHeight="1">
      <c r="B22" s="32" t="s">
        <v>44</v>
      </c>
      <c r="C22" s="32"/>
      <c r="D22" s="33">
        <f>D15+D21</f>
        <v>9325.369999999999</v>
      </c>
      <c r="E22" s="33">
        <f>E15+E21</f>
        <v>14404.550000000001</v>
      </c>
      <c r="F22" s="33">
        <f t="shared" ref="F22" si="1">F15+F21</f>
        <v>17563.07</v>
      </c>
      <c r="H22" s="91"/>
      <c r="I22" s="91"/>
      <c r="J22" s="92"/>
      <c r="K22" s="92"/>
      <c r="L22" s="92"/>
    </row>
    <row r="23" spans="2:12">
      <c r="D23" s="13"/>
      <c r="E23" s="13"/>
      <c r="F23" s="13"/>
      <c r="J23" s="13"/>
      <c r="K23" s="13"/>
      <c r="L23" s="13"/>
    </row>
    <row r="24" spans="2:12">
      <c r="B24" s="7" t="s">
        <v>149</v>
      </c>
      <c r="D24" s="13">
        <v>-577.09</v>
      </c>
      <c r="E24" s="13">
        <v>-616.38</v>
      </c>
      <c r="F24" s="13">
        <v>-625.14</v>
      </c>
      <c r="J24" s="13"/>
      <c r="K24" s="13"/>
      <c r="L24" s="13"/>
    </row>
    <row r="25" spans="2:12">
      <c r="B25" s="7" t="s">
        <v>150</v>
      </c>
      <c r="D25" s="13">
        <v>-692.08</v>
      </c>
      <c r="E25" s="13">
        <v>-780.38</v>
      </c>
      <c r="F25" s="13">
        <v>-801.58</v>
      </c>
      <c r="J25" s="13"/>
      <c r="K25" s="13"/>
      <c r="L25" s="13"/>
    </row>
    <row r="26" spans="2:12">
      <c r="B26" s="7" t="s">
        <v>36</v>
      </c>
      <c r="D26" s="13">
        <f>D24+D25</f>
        <v>-1269.17</v>
      </c>
      <c r="E26" s="13">
        <f t="shared" ref="E26:F26" si="2">E24+E25</f>
        <v>-1396.76</v>
      </c>
      <c r="F26" s="13">
        <f t="shared" si="2"/>
        <v>-1426.72</v>
      </c>
      <c r="J26" s="13"/>
      <c r="K26" s="13"/>
      <c r="L26" s="13"/>
    </row>
    <row r="27" spans="2:12">
      <c r="D27" s="13"/>
      <c r="E27" s="13"/>
      <c r="F27" s="13"/>
      <c r="J27" s="13"/>
      <c r="K27" s="13"/>
      <c r="L27" s="13"/>
    </row>
    <row r="28" spans="2:12" ht="12" customHeight="1">
      <c r="B28" s="32" t="s">
        <v>45</v>
      </c>
      <c r="C28" s="32"/>
      <c r="D28" s="33">
        <f>D22+D26</f>
        <v>8056.1999999999989</v>
      </c>
      <c r="E28" s="33">
        <f>E22+E26</f>
        <v>13007.79</v>
      </c>
      <c r="F28" s="33">
        <f>F22+F26</f>
        <v>16136.35</v>
      </c>
      <c r="H28" s="91"/>
      <c r="I28" s="91"/>
      <c r="J28" s="92"/>
      <c r="K28" s="92"/>
      <c r="L28" s="92"/>
    </row>
    <row r="29" spans="2:12">
      <c r="D29" s="13"/>
      <c r="E29" s="13"/>
      <c r="F29" s="13"/>
      <c r="J29" s="13"/>
      <c r="K29" s="13"/>
      <c r="L29" s="13"/>
    </row>
    <row r="30" spans="2:12">
      <c r="B30" s="7" t="s">
        <v>147</v>
      </c>
      <c r="D30" s="13">
        <v>1057.33</v>
      </c>
      <c r="E30" s="13">
        <v>1603.57</v>
      </c>
      <c r="F30" s="13">
        <v>2102.4499999999998</v>
      </c>
      <c r="J30" s="13"/>
      <c r="K30" s="13"/>
      <c r="L30" s="13"/>
    </row>
    <row r="31" spans="2:12">
      <c r="B31" s="7" t="s">
        <v>148</v>
      </c>
      <c r="D31" s="13">
        <v>-981.39</v>
      </c>
      <c r="E31" s="13">
        <v>-1039.47</v>
      </c>
      <c r="F31" s="13">
        <v>-940.91</v>
      </c>
      <c r="J31" s="13"/>
      <c r="K31" s="13"/>
      <c r="L31" s="13"/>
    </row>
    <row r="32" spans="2:12">
      <c r="B32" s="105" t="s">
        <v>241</v>
      </c>
      <c r="D32" s="13">
        <f>D31</f>
        <v>-981.39</v>
      </c>
      <c r="E32" s="13">
        <f t="shared" ref="E32:F32" si="3">E31</f>
        <v>-1039.47</v>
      </c>
      <c r="F32" s="13">
        <f t="shared" si="3"/>
        <v>-940.91</v>
      </c>
      <c r="J32" s="13"/>
      <c r="K32" s="13"/>
      <c r="L32" s="13"/>
    </row>
    <row r="33" spans="2:12">
      <c r="B33" s="32" t="s">
        <v>225</v>
      </c>
      <c r="C33" s="32"/>
      <c r="D33" s="33">
        <f>D28+D32</f>
        <v>7074.8099999999986</v>
      </c>
      <c r="E33" s="33">
        <f t="shared" ref="E33:F33" si="4">E28+E32</f>
        <v>11968.320000000002</v>
      </c>
      <c r="F33" s="33">
        <f t="shared" si="4"/>
        <v>15195.44</v>
      </c>
      <c r="J33" s="13"/>
      <c r="K33" s="13"/>
      <c r="L33" s="13"/>
    </row>
    <row r="34" spans="2:12">
      <c r="B34" s="7" t="s">
        <v>145</v>
      </c>
      <c r="D34" s="13">
        <f>696.69+D30</f>
        <v>1754.02</v>
      </c>
      <c r="E34" s="13">
        <f>2508.2+E30</f>
        <v>4111.7699999999995</v>
      </c>
      <c r="F34" s="13">
        <f>1596.32+F30</f>
        <v>3698.7699999999995</v>
      </c>
      <c r="J34" s="13"/>
      <c r="K34" s="13"/>
      <c r="L34" s="13"/>
    </row>
    <row r="35" spans="2:12">
      <c r="B35" s="7" t="s">
        <v>146</v>
      </c>
      <c r="D35" s="13">
        <v>214.29</v>
      </c>
      <c r="E35" s="13">
        <v>236.98</v>
      </c>
      <c r="F35" s="13">
        <v>5.6</v>
      </c>
      <c r="J35" s="13"/>
      <c r="K35" s="13"/>
      <c r="L35" s="13"/>
    </row>
    <row r="36" spans="2:12">
      <c r="B36" s="7" t="s">
        <v>152</v>
      </c>
      <c r="D36" s="13">
        <v>-566.1</v>
      </c>
      <c r="E36" s="13">
        <v>-1255.5</v>
      </c>
      <c r="F36" s="13">
        <v>0</v>
      </c>
      <c r="J36" s="13"/>
      <c r="K36" s="13"/>
      <c r="L36" s="13"/>
    </row>
    <row r="37" spans="2:12">
      <c r="B37" s="105" t="s">
        <v>222</v>
      </c>
      <c r="D37" s="13">
        <f>SUM(D34:D36)</f>
        <v>1402.21</v>
      </c>
      <c r="E37" s="13">
        <f t="shared" ref="E37" si="5">SUM(E34:E36)</f>
        <v>3093.2499999999991</v>
      </c>
      <c r="F37" s="13">
        <f>SUM(F34:F36)</f>
        <v>3704.3699999999994</v>
      </c>
      <c r="J37" s="13"/>
      <c r="K37" s="13"/>
      <c r="L37" s="13"/>
    </row>
    <row r="38" spans="2:12" ht="12" customHeight="1">
      <c r="B38" s="32" t="s">
        <v>226</v>
      </c>
      <c r="C38" s="32"/>
      <c r="D38" s="33">
        <f>D33+D37</f>
        <v>8477.0199999999986</v>
      </c>
      <c r="E38" s="33">
        <f>E33+E37</f>
        <v>15061.57</v>
      </c>
      <c r="F38" s="33">
        <f>F33+F37</f>
        <v>18899.810000000001</v>
      </c>
      <c r="H38" s="91"/>
      <c r="I38" s="91"/>
      <c r="J38" s="92"/>
      <c r="K38" s="92"/>
      <c r="L38" s="92"/>
    </row>
    <row r="39" spans="2:12">
      <c r="D39" s="13"/>
      <c r="E39" s="13"/>
      <c r="F39" s="13"/>
      <c r="J39" s="13"/>
      <c r="K39" s="13"/>
      <c r="L39" s="13"/>
    </row>
    <row r="40" spans="2:12">
      <c r="B40" s="7" t="s">
        <v>151</v>
      </c>
      <c r="D40" s="13">
        <v>-338.16</v>
      </c>
      <c r="E40" s="13">
        <v>-232.41</v>
      </c>
      <c r="F40" s="13">
        <v>-1450.71</v>
      </c>
      <c r="J40" s="13"/>
      <c r="K40" s="13"/>
      <c r="L40" s="13"/>
    </row>
    <row r="41" spans="2:12">
      <c r="D41" s="13"/>
      <c r="E41" s="13"/>
      <c r="F41" s="13"/>
      <c r="J41" s="13"/>
      <c r="K41" s="13"/>
      <c r="L41" s="13"/>
    </row>
    <row r="42" spans="2:12" ht="12.5" customHeight="1" thickBot="1">
      <c r="B42" s="10" t="s">
        <v>102</v>
      </c>
      <c r="C42" s="10"/>
      <c r="D42" s="14">
        <f>D38+D40</f>
        <v>8138.8599999999988</v>
      </c>
      <c r="E42" s="14">
        <f t="shared" ref="E42:F42" si="6">E38+E40</f>
        <v>14829.16</v>
      </c>
      <c r="F42" s="14">
        <f t="shared" si="6"/>
        <v>17449.100000000002</v>
      </c>
      <c r="H42" s="91"/>
      <c r="I42" s="91"/>
      <c r="J42" s="92"/>
      <c r="K42" s="92"/>
      <c r="L42" s="92"/>
    </row>
    <row r="44" spans="2:12">
      <c r="B44" s="104" t="s">
        <v>227</v>
      </c>
    </row>
    <row r="45" spans="2:12">
      <c r="B45" s="104" t="s">
        <v>228</v>
      </c>
    </row>
    <row r="46" spans="2:12">
      <c r="B46" s="104" t="s">
        <v>229</v>
      </c>
      <c r="J46" s="47"/>
    </row>
    <row r="47" spans="2:12">
      <c r="B47" s="104" t="s">
        <v>230</v>
      </c>
    </row>
    <row r="48" spans="2:12">
      <c r="B48" s="104" t="s">
        <v>231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33"/>
  <sheetViews>
    <sheetView zoomScale="103" zoomScaleNormal="130" workbookViewId="0">
      <selection activeCell="K8" sqref="K8"/>
    </sheetView>
  </sheetViews>
  <sheetFormatPr baseColWidth="10" defaultColWidth="9.1640625" defaultRowHeight="12"/>
  <cols>
    <col min="1" max="1" width="2" style="7" customWidth="1"/>
    <col min="2" max="2" width="40" style="7" bestFit="1" customWidth="1"/>
    <col min="3" max="3" width="9.1640625" style="7" customWidth="1"/>
    <col min="4" max="4" width="10.83203125" style="7" customWidth="1"/>
    <col min="5" max="5" width="10.6640625" style="7" customWidth="1"/>
    <col min="6" max="6" width="10" style="7" bestFit="1" customWidth="1"/>
    <col min="7" max="7" width="9.1640625" style="7" customWidth="1"/>
    <col min="8" max="8" width="76.83203125" style="7" bestFit="1" customWidth="1"/>
    <col min="9" max="9" width="9.1640625" style="7" customWidth="1"/>
    <col min="10" max="10" width="10" style="7" bestFit="1" customWidth="1"/>
    <col min="11" max="11" width="10.5" style="7" customWidth="1"/>
    <col min="12" max="12" width="11.1640625" style="7" customWidth="1"/>
    <col min="13" max="13" width="9.1640625" style="7" customWidth="1"/>
    <col min="14" max="16384" width="9.1640625" style="7"/>
  </cols>
  <sheetData>
    <row r="1" spans="2:12" ht="15.5" customHeight="1">
      <c r="B1" s="6" t="s">
        <v>20</v>
      </c>
    </row>
    <row r="2" spans="2:12">
      <c r="B2" s="7" t="s">
        <v>153</v>
      </c>
      <c r="C2" s="7" t="s">
        <v>178</v>
      </c>
    </row>
    <row r="3" spans="2:12" ht="24" customHeight="1">
      <c r="B3" s="8" t="s">
        <v>154</v>
      </c>
      <c r="C3" s="8"/>
      <c r="D3" s="9" t="s">
        <v>128</v>
      </c>
      <c r="E3" s="9" t="s">
        <v>129</v>
      </c>
      <c r="F3" s="9" t="s">
        <v>130</v>
      </c>
      <c r="H3" s="8" t="s">
        <v>131</v>
      </c>
      <c r="I3" s="8"/>
      <c r="J3" s="9" t="s">
        <v>128</v>
      </c>
      <c r="K3" s="9" t="s">
        <v>129</v>
      </c>
      <c r="L3" s="9" t="s">
        <v>130</v>
      </c>
    </row>
    <row r="4" spans="2:12">
      <c r="B4" s="105" t="s">
        <v>157</v>
      </c>
      <c r="D4" s="13">
        <v>18289.16</v>
      </c>
      <c r="E4" s="13">
        <v>33854.910000000003</v>
      </c>
      <c r="F4" s="13">
        <v>50056.18</v>
      </c>
      <c r="G4" s="13"/>
      <c r="H4" s="13" t="s">
        <v>103</v>
      </c>
      <c r="I4" s="13"/>
      <c r="J4" s="13">
        <v>8838.7900000000009</v>
      </c>
      <c r="K4" s="13">
        <v>8838.7900000000009</v>
      </c>
      <c r="L4" s="13">
        <v>8838.7900000000009</v>
      </c>
    </row>
    <row r="5" spans="2:12">
      <c r="B5" s="105" t="s">
        <v>158</v>
      </c>
      <c r="D5" s="13">
        <v>22218.35</v>
      </c>
      <c r="E5" s="13">
        <v>17255.07</v>
      </c>
      <c r="F5" s="13">
        <v>15484.28</v>
      </c>
      <c r="G5" s="13"/>
      <c r="H5" s="13" t="s">
        <v>179</v>
      </c>
      <c r="I5" s="13"/>
      <c r="J5" s="13">
        <v>-1.68</v>
      </c>
      <c r="K5" s="13">
        <v>-1.68</v>
      </c>
      <c r="L5" s="13">
        <v>-1.68</v>
      </c>
    </row>
    <row r="6" spans="2:12">
      <c r="B6" s="105" t="s">
        <v>41</v>
      </c>
      <c r="D6" s="7">
        <v>7750.9100000000008</v>
      </c>
      <c r="E6" s="7">
        <v>7611</v>
      </c>
      <c r="F6" s="7">
        <v>10739.08</v>
      </c>
      <c r="G6" s="13"/>
      <c r="H6" s="13" t="s">
        <v>104</v>
      </c>
      <c r="I6" s="13"/>
      <c r="J6" s="13">
        <v>21999.63</v>
      </c>
      <c r="K6" s="13">
        <v>22532.21</v>
      </c>
      <c r="L6" s="13">
        <v>23926.35</v>
      </c>
    </row>
    <row r="7" spans="2:12">
      <c r="B7" s="105" t="s">
        <v>162</v>
      </c>
      <c r="D7" s="13">
        <v>42240.59</v>
      </c>
      <c r="E7" s="13">
        <v>40997.599999999999</v>
      </c>
      <c r="F7" s="13">
        <v>45096.26</v>
      </c>
      <c r="G7" s="13"/>
      <c r="H7" s="13" t="s">
        <v>105</v>
      </c>
      <c r="I7" s="13"/>
      <c r="J7" s="13">
        <v>38161.74</v>
      </c>
      <c r="K7" s="13">
        <v>46354.82</v>
      </c>
      <c r="L7" s="13">
        <v>52664.77</v>
      </c>
    </row>
    <row r="8" spans="2:12">
      <c r="B8" s="7" t="s">
        <v>163</v>
      </c>
      <c r="D8" s="13">
        <v>1029.56</v>
      </c>
      <c r="E8" s="13">
        <v>0</v>
      </c>
      <c r="F8" s="13">
        <v>0</v>
      </c>
      <c r="G8" s="13"/>
      <c r="H8" s="92" t="s">
        <v>180</v>
      </c>
      <c r="I8" s="13"/>
      <c r="J8" s="13">
        <f>SUM(J4:J7)</f>
        <v>68998.48</v>
      </c>
      <c r="K8" s="13">
        <f>SUM(K4:K7)</f>
        <v>77724.14</v>
      </c>
      <c r="L8" s="13">
        <f>SUM(L4:L7)</f>
        <v>85428.23</v>
      </c>
    </row>
    <row r="9" spans="2:12">
      <c r="E9" s="13"/>
      <c r="F9" s="13"/>
      <c r="G9" s="13"/>
      <c r="H9" s="92" t="s">
        <v>169</v>
      </c>
      <c r="I9" s="13"/>
      <c r="J9" s="13">
        <v>6427.6</v>
      </c>
      <c r="K9" s="13">
        <v>9106.8700000000008</v>
      </c>
      <c r="L9" s="13">
        <v>10641.81</v>
      </c>
    </row>
    <row r="10" spans="2:12" ht="12.5" customHeight="1" thickBot="1">
      <c r="B10" s="10" t="s">
        <v>155</v>
      </c>
      <c r="C10" s="15"/>
      <c r="D10" s="14">
        <f>SUM(D4:D7)</f>
        <v>90499.01</v>
      </c>
      <c r="E10" s="14">
        <f t="shared" ref="E10:F10" si="0">SUM(E4:E7)</f>
        <v>99718.58</v>
      </c>
      <c r="F10" s="14">
        <f t="shared" si="0"/>
        <v>121375.80000000002</v>
      </c>
      <c r="G10" s="13"/>
      <c r="H10" s="14" t="s">
        <v>106</v>
      </c>
      <c r="I10" s="30"/>
      <c r="J10" s="14">
        <f>J8+J9</f>
        <v>75426.080000000002</v>
      </c>
      <c r="K10" s="14">
        <f>K8+K9</f>
        <v>86831.01</v>
      </c>
      <c r="L10" s="14">
        <f>L8+L9</f>
        <v>96070.04</v>
      </c>
    </row>
    <row r="11" spans="2:12">
      <c r="B11" s="105" t="s">
        <v>202</v>
      </c>
      <c r="D11" s="7">
        <v>9081.0300000000007</v>
      </c>
      <c r="E11" s="7">
        <v>8474.48</v>
      </c>
      <c r="F11" s="7">
        <v>7945.1</v>
      </c>
      <c r="G11" s="13"/>
      <c r="H11" s="13"/>
      <c r="I11" s="13"/>
      <c r="J11" s="13"/>
      <c r="K11" s="13"/>
      <c r="L11" s="13"/>
    </row>
    <row r="12" spans="2:12">
      <c r="B12" s="7" t="s">
        <v>164</v>
      </c>
      <c r="D12" s="13">
        <v>2236.84</v>
      </c>
      <c r="E12" s="13">
        <v>2010.63</v>
      </c>
      <c r="F12" s="13">
        <v>1508.07</v>
      </c>
      <c r="G12" s="13"/>
      <c r="H12" s="106" t="s">
        <v>172</v>
      </c>
      <c r="I12" s="13"/>
      <c r="J12" s="13">
        <v>19659.759999999998</v>
      </c>
      <c r="K12" s="13">
        <v>14737.47</v>
      </c>
      <c r="L12" s="13">
        <v>17570.830000000002</v>
      </c>
    </row>
    <row r="13" spans="2:12">
      <c r="B13" s="7" t="s">
        <v>167</v>
      </c>
      <c r="D13" s="13">
        <v>1043.26</v>
      </c>
      <c r="E13" s="13">
        <v>834.28</v>
      </c>
      <c r="F13" s="13">
        <v>1006.18</v>
      </c>
      <c r="G13" s="13"/>
      <c r="H13" s="106" t="s">
        <v>173</v>
      </c>
      <c r="I13" s="13"/>
      <c r="J13" s="13">
        <v>19563.73</v>
      </c>
      <c r="K13" s="13">
        <v>22857.58</v>
      </c>
      <c r="L13" s="13">
        <v>32495.29</v>
      </c>
    </row>
    <row r="14" spans="2:12">
      <c r="B14" s="7" t="s">
        <v>168</v>
      </c>
      <c r="D14" s="13">
        <v>5800.93</v>
      </c>
      <c r="E14" s="13">
        <v>5629.57</v>
      </c>
      <c r="F14" s="13">
        <v>5430.85</v>
      </c>
      <c r="G14" s="13"/>
      <c r="H14" s="13" t="s">
        <v>175</v>
      </c>
      <c r="I14" s="13"/>
      <c r="J14" s="13">
        <v>496.26</v>
      </c>
      <c r="K14" s="13">
        <v>0</v>
      </c>
      <c r="L14" s="13">
        <v>0</v>
      </c>
    </row>
    <row r="15" spans="2:12">
      <c r="D15" s="13"/>
      <c r="E15" s="13"/>
      <c r="F15" s="13"/>
      <c r="G15" s="13"/>
      <c r="H15" s="13" t="s">
        <v>183</v>
      </c>
      <c r="I15" s="13"/>
      <c r="J15" s="13">
        <v>0</v>
      </c>
      <c r="K15" s="13">
        <v>238.27</v>
      </c>
      <c r="L15" s="13">
        <v>1237.8399999999999</v>
      </c>
    </row>
    <row r="16" spans="2:12">
      <c r="B16" s="105" t="s">
        <v>201</v>
      </c>
      <c r="D16" s="13">
        <v>9883.8799999999992</v>
      </c>
      <c r="E16" s="13">
        <v>9490.93</v>
      </c>
      <c r="F16" s="13">
        <v>8986.89</v>
      </c>
      <c r="G16" s="13"/>
      <c r="H16" s="13" t="s">
        <v>174</v>
      </c>
      <c r="I16" s="13"/>
      <c r="J16" s="13">
        <v>1620.54</v>
      </c>
      <c r="K16" s="13">
        <v>1531.6</v>
      </c>
      <c r="L16" s="13">
        <v>1834.7</v>
      </c>
    </row>
    <row r="17" spans="2:12" ht="13" thickBot="1">
      <c r="B17" s="105" t="s">
        <v>165</v>
      </c>
      <c r="D17" s="13">
        <v>22688.26</v>
      </c>
      <c r="E17" s="13">
        <v>21493.52</v>
      </c>
      <c r="F17" s="13">
        <v>21340.22</v>
      </c>
      <c r="G17" s="13"/>
      <c r="H17" s="14" t="s">
        <v>171</v>
      </c>
      <c r="I17" s="30"/>
      <c r="J17" s="14">
        <f>J12+J13</f>
        <v>39223.49</v>
      </c>
      <c r="K17" s="14">
        <f t="shared" ref="K17:L17" si="1">K12+K13</f>
        <v>37595.050000000003</v>
      </c>
      <c r="L17" s="14">
        <f t="shared" si="1"/>
        <v>50066.12</v>
      </c>
    </row>
    <row r="18" spans="2:12">
      <c r="B18" s="105" t="s">
        <v>50</v>
      </c>
      <c r="D18" s="13">
        <v>211.94</v>
      </c>
      <c r="E18" s="13">
        <v>219.72</v>
      </c>
      <c r="F18" s="13">
        <v>574.36</v>
      </c>
      <c r="G18" s="13"/>
      <c r="H18" s="105" t="s">
        <v>210</v>
      </c>
      <c r="J18" s="7">
        <v>14497.91</v>
      </c>
      <c r="K18" s="7">
        <v>12270.56</v>
      </c>
      <c r="L18" s="7">
        <v>9686.48</v>
      </c>
    </row>
    <row r="19" spans="2:12">
      <c r="B19" s="7" t="s">
        <v>166</v>
      </c>
      <c r="D19" s="13">
        <v>954.85</v>
      </c>
      <c r="E19" s="13">
        <v>845.92</v>
      </c>
      <c r="F19" s="13">
        <v>687.55</v>
      </c>
      <c r="G19" s="13"/>
      <c r="H19" s="13" t="s">
        <v>181</v>
      </c>
      <c r="I19" s="13"/>
      <c r="J19" s="13">
        <v>922.8</v>
      </c>
      <c r="K19" s="13">
        <v>754.32</v>
      </c>
      <c r="L19" s="13">
        <v>1145.75</v>
      </c>
    </row>
    <row r="20" spans="2:12" ht="12.5" customHeight="1" thickBot="1">
      <c r="B20" s="10" t="s">
        <v>156</v>
      </c>
      <c r="C20" s="15"/>
      <c r="D20" s="14">
        <f>D11+D16+D17+D18</f>
        <v>41865.11</v>
      </c>
      <c r="E20" s="14">
        <f t="shared" ref="E20:F20" si="2">E11+E16+E17+E18</f>
        <v>39678.65</v>
      </c>
      <c r="F20" s="14">
        <f t="shared" si="2"/>
        <v>38846.57</v>
      </c>
      <c r="G20" s="13"/>
      <c r="H20" s="13" t="s">
        <v>170</v>
      </c>
      <c r="I20" s="13"/>
      <c r="J20" s="13">
        <v>5331.23</v>
      </c>
      <c r="K20" s="13">
        <v>3098.68</v>
      </c>
      <c r="L20" s="13">
        <v>3265.39</v>
      </c>
    </row>
    <row r="21" spans="2:12" ht="12.5" customHeight="1">
      <c r="B21" s="104" t="s">
        <v>209</v>
      </c>
      <c r="D21" s="92"/>
      <c r="E21" s="92"/>
      <c r="F21" s="92"/>
      <c r="G21" s="13"/>
      <c r="H21" s="13" t="s">
        <v>177</v>
      </c>
      <c r="I21" s="13"/>
      <c r="J21" s="13">
        <v>9166.68</v>
      </c>
      <c r="K21" s="13">
        <v>9171.8799999999992</v>
      </c>
      <c r="L21" s="13">
        <v>6421.09</v>
      </c>
    </row>
    <row r="22" spans="2:12" ht="12.5" customHeight="1">
      <c r="B22" s="105" t="s">
        <v>205</v>
      </c>
      <c r="D22" s="92"/>
      <c r="E22" s="92"/>
      <c r="F22" s="92"/>
      <c r="G22" s="13"/>
      <c r="H22" s="13" t="s">
        <v>182</v>
      </c>
      <c r="I22" s="13"/>
      <c r="J22" s="13">
        <v>177.04</v>
      </c>
      <c r="K22" s="13">
        <v>176.42</v>
      </c>
      <c r="L22" s="13">
        <v>181.44</v>
      </c>
    </row>
    <row r="23" spans="2:12">
      <c r="B23" s="105" t="s">
        <v>206</v>
      </c>
      <c r="D23" s="13"/>
      <c r="E23" s="13"/>
      <c r="F23" s="13"/>
      <c r="G23" s="13"/>
      <c r="H23" s="106" t="s">
        <v>203</v>
      </c>
      <c r="I23" s="13"/>
      <c r="J23" s="13">
        <f>J19+J22+J16+J15+J14</f>
        <v>3216.6400000000003</v>
      </c>
      <c r="K23" s="13">
        <f t="shared" ref="K23:L23" si="3">K19+K22+K16+K15+K14</f>
        <v>2700.61</v>
      </c>
      <c r="L23" s="13">
        <f t="shared" si="3"/>
        <v>4399.7300000000005</v>
      </c>
    </row>
    <row r="24" spans="2:12" ht="13" thickBot="1">
      <c r="B24" s="105" t="s">
        <v>204</v>
      </c>
      <c r="D24" s="13"/>
      <c r="E24" s="13"/>
      <c r="F24" s="13"/>
      <c r="G24" s="13"/>
      <c r="H24" s="14" t="s">
        <v>176</v>
      </c>
      <c r="I24" s="30"/>
      <c r="J24" s="14">
        <f>J18+J23</f>
        <v>17714.55</v>
      </c>
      <c r="K24" s="14">
        <f t="shared" ref="K24:L24" si="4">K18+K23</f>
        <v>14971.17</v>
      </c>
      <c r="L24" s="14">
        <f t="shared" si="4"/>
        <v>14086.21</v>
      </c>
    </row>
    <row r="25" spans="2:12" ht="12.5" customHeight="1" thickBot="1">
      <c r="B25" s="105" t="s">
        <v>207</v>
      </c>
      <c r="D25" s="13"/>
      <c r="E25" s="13"/>
      <c r="F25" s="13"/>
      <c r="G25" s="13"/>
      <c r="H25" s="14" t="s">
        <v>107</v>
      </c>
      <c r="I25" s="30"/>
      <c r="J25" s="14">
        <f>J17+J24</f>
        <v>56938.039999999994</v>
      </c>
      <c r="K25" s="14">
        <f t="shared" ref="K25:L25" si="5">K17+K24</f>
        <v>52566.22</v>
      </c>
      <c r="L25" s="14">
        <f t="shared" si="5"/>
        <v>64152.33</v>
      </c>
    </row>
    <row r="26" spans="2:12">
      <c r="B26" s="105" t="s">
        <v>208</v>
      </c>
      <c r="D26" s="13"/>
      <c r="E26" s="13"/>
      <c r="F26" s="13"/>
      <c r="G26" s="13"/>
      <c r="H26" s="13"/>
      <c r="I26" s="13"/>
      <c r="J26" s="13"/>
      <c r="K26" s="13"/>
      <c r="L26" s="13"/>
    </row>
    <row r="27" spans="2:12" ht="12.5" customHeight="1" thickBot="1">
      <c r="B27" s="10" t="s">
        <v>51</v>
      </c>
      <c r="C27" s="15"/>
      <c r="D27" s="14">
        <f>D20+D10</f>
        <v>132364.12</v>
      </c>
      <c r="E27" s="14">
        <f>E20+E10</f>
        <v>139397.23000000001</v>
      </c>
      <c r="F27" s="14">
        <f>F20+F10</f>
        <v>160222.37000000002</v>
      </c>
      <c r="G27" s="13"/>
      <c r="H27" s="14" t="s">
        <v>108</v>
      </c>
      <c r="I27" s="30"/>
      <c r="J27" s="14">
        <f>J25+J10</f>
        <v>132364.12</v>
      </c>
      <c r="K27" s="14">
        <f>K25+K10</f>
        <v>139397.22999999998</v>
      </c>
      <c r="L27" s="14">
        <f>L25+L10</f>
        <v>160222.37</v>
      </c>
    </row>
    <row r="29" spans="2:12">
      <c r="B29" s="104" t="s">
        <v>211</v>
      </c>
    </row>
    <row r="30" spans="2:12">
      <c r="B30" s="105" t="s">
        <v>215</v>
      </c>
      <c r="J30" s="7">
        <f>J27-D27</f>
        <v>0</v>
      </c>
      <c r="K30" s="7">
        <f t="shared" ref="K30:L30" si="6">K27-E27</f>
        <v>0</v>
      </c>
      <c r="L30" s="47">
        <f t="shared" si="6"/>
        <v>0</v>
      </c>
    </row>
    <row r="31" spans="2:12">
      <c r="B31" s="105" t="s">
        <v>212</v>
      </c>
    </row>
    <row r="32" spans="2:12">
      <c r="B32" s="105" t="s">
        <v>213</v>
      </c>
    </row>
    <row r="33" spans="2:2">
      <c r="B33" s="105" t="s">
        <v>214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Arsen Tagibekov</dc:creator>
  <cp:keywords/>
  <dc:description/>
  <cp:lastModifiedBy>Arsen Tagibekov</cp:lastModifiedBy>
  <dcterms:created xsi:type="dcterms:W3CDTF">2006-09-16T00:00:00Z</dcterms:created>
  <dcterms:modified xsi:type="dcterms:W3CDTF">2025-04-28T21:03:14Z</dcterms:modified>
  <cp:category/>
</cp:coreProperties>
</file>